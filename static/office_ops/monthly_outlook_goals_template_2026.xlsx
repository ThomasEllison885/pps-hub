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nthly Team" sheetId="1" state="visible" r:id="rId1"/>
    <sheet xmlns:r="http://schemas.openxmlformats.org/officeDocument/2006/relationships" name="Monthly Sales" sheetId="2" state="visible" r:id="rId2"/>
    <sheet xmlns:r="http://schemas.openxmlformats.org/officeDocument/2006/relationships" name="Quarterly Breakdowns" sheetId="3" state="visible" r:id="rId3"/>
    <sheet xmlns:r="http://schemas.openxmlformats.org/officeDocument/2006/relationships" name="Profit and Mar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12">
    <font>
      <name val="Arial"/>
      <color rgb="FF000000"/>
      <sz val="10"/>
      <scheme val="minor"/>
    </font>
    <font>
      <name val="Arial"/>
      <color theme="1"/>
      <scheme val="minor"/>
    </font>
    <font>
      <name val="Calibri"/>
      <b val="1"/>
      <color rgb="FF000000"/>
      <sz val="12"/>
    </font>
    <font>
      <name val="Calibri"/>
      <b val="1"/>
      <color theme="1"/>
      <sz val="12"/>
    </font>
    <font>
      <name val="Calibri"/>
      <color rgb="FF000000"/>
      <sz val="12"/>
    </font>
    <font>
      <name val="Calibri"/>
      <b val="1"/>
      <color rgb="FF0000FF"/>
      <sz val="12"/>
    </font>
    <font>
      <name val="Arial"/>
      <color rgb="FF000000"/>
      <scheme val="minor"/>
    </font>
    <font>
      <name val="Arial"/>
      <color rgb="FFFF9900"/>
      <scheme val="minor"/>
    </font>
    <font>
      <name val="Calibri"/>
      <color rgb="FF9C0006"/>
      <sz val="12"/>
    </font>
    <font>
      <name val="Calibri"/>
      <color rgb="FF006100"/>
      <sz val="12"/>
    </font>
    <font>
      <name val="Arial"/>
      <color rgb="FFFF0000"/>
      <scheme val="minor"/>
    </font>
    <font>
      <name val="Arial"/>
      <b val="1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</border>
  </borders>
  <cellStyleXfs count="1">
    <xf numFmtId="0" fontId="0" fillId="0" borderId="0"/>
  </cellStyleXfs>
  <cellXfs count="5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left" vertical="bottom"/>
    </xf>
    <xf numFmtId="164" fontId="1" fillId="0" borderId="0" pivotButton="0" quotePrefix="0" xfId="0"/>
    <xf numFmtId="164" fontId="1" fillId="0" borderId="0" pivotButton="0" quotePrefix="0" xfId="0"/>
    <xf numFmtId="164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1" applyAlignment="1" pivotButton="0" quotePrefix="0" xfId="0">
      <alignment horizontal="left" vertical="bottom"/>
    </xf>
    <xf numFmtId="0" fontId="6" fillId="0" borderId="0" pivotButton="0" quotePrefix="0" xfId="0"/>
    <xf numFmtId="10" fontId="4" fillId="2" borderId="0" applyAlignment="1" pivotButton="0" quotePrefix="0" xfId="0">
      <alignment horizontal="right" vertical="bottom"/>
    </xf>
    <xf numFmtId="10" fontId="1" fillId="0" borderId="0" pivotButton="0" quotePrefix="0" xfId="0"/>
    <xf numFmtId="0" fontId="3" fillId="0" borderId="1" applyAlignment="1" pivotButton="0" quotePrefix="0" xfId="0">
      <alignment horizontal="left" vertical="bottom"/>
    </xf>
    <xf numFmtId="164" fontId="4" fillId="0" borderId="0" applyAlignment="1" pivotButton="0" quotePrefix="0" xfId="0">
      <alignment horizontal="left" vertical="bottom"/>
    </xf>
    <xf numFmtId="0" fontId="7" fillId="0" borderId="0" pivotButton="0" quotePrefix="0" xfId="0"/>
    <xf numFmtId="10" fontId="4" fillId="0" borderId="0" applyAlignment="1" pivotButton="0" quotePrefix="0" xfId="0">
      <alignment horizontal="right" vertical="bottom"/>
    </xf>
    <xf numFmtId="164" fontId="4" fillId="0" borderId="0" applyAlignment="1" pivotButton="0" quotePrefix="0" xfId="0">
      <alignment horizontal="left" vertical="bottom"/>
    </xf>
    <xf numFmtId="165" fontId="4" fillId="0" borderId="0" applyAlignment="1" pivotButton="0" quotePrefix="0" xfId="0">
      <alignment horizontal="left" vertical="bottom"/>
    </xf>
    <xf numFmtId="164" fontId="4" fillId="2" borderId="0" applyAlignment="1" pivotButton="0" quotePrefix="0" xfId="0">
      <alignment horizontal="left" vertical="bottom"/>
    </xf>
    <xf numFmtId="164" fontId="4" fillId="2" borderId="0" applyAlignment="1" pivotButton="0" quotePrefix="0" xfId="0">
      <alignment vertical="bottom"/>
    </xf>
    <xf numFmtId="164" fontId="4" fillId="2" borderId="0" applyAlignment="1" pivotButton="0" quotePrefix="0" xfId="0">
      <alignment vertical="bottom"/>
    </xf>
    <xf numFmtId="165" fontId="2" fillId="0" borderId="0" applyAlignment="1" pivotButton="0" quotePrefix="0" xfId="0">
      <alignment horizontal="left" vertical="bottom"/>
    </xf>
    <xf numFmtId="164" fontId="2" fillId="0" borderId="0" applyAlignment="1" pivotButton="0" quotePrefix="0" xfId="0">
      <alignment horizontal="left" vertical="bottom"/>
    </xf>
    <xf numFmtId="164" fontId="8" fillId="3" borderId="0" applyAlignment="1" pivotButton="0" quotePrefix="0" xfId="0">
      <alignment horizontal="left" vertical="bottom"/>
    </xf>
    <xf numFmtId="164" fontId="9" fillId="4" borderId="0" applyAlignment="1" pivotButton="0" quotePrefix="0" xfId="0">
      <alignment horizontal="left" vertical="bottom"/>
    </xf>
    <xf numFmtId="0" fontId="4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 vertical="bottom"/>
    </xf>
    <xf numFmtId="165" fontId="4" fillId="2" borderId="0" applyAlignment="1" pivotButton="0" quotePrefix="0" xfId="0">
      <alignment horizontal="left" vertical="bottom"/>
    </xf>
    <xf numFmtId="9" fontId="8" fillId="3" borderId="0" applyAlignment="1" pivotButton="0" quotePrefix="0" xfId="0">
      <alignment horizontal="right" vertical="bottom"/>
    </xf>
    <xf numFmtId="9" fontId="9" fillId="4" borderId="0" applyAlignment="1" pivotButton="0" quotePrefix="0" xfId="0">
      <alignment horizontal="right" vertical="bottom"/>
    </xf>
    <xf numFmtId="0" fontId="10" fillId="0" borderId="0" pivotButton="0" quotePrefix="0" xfId="0"/>
    <xf numFmtId="0" fontId="3" fillId="5" borderId="0" applyAlignment="1" pivotButton="0" quotePrefix="0" xfId="0">
      <alignment horizontal="left" vertical="bottom"/>
    </xf>
    <xf numFmtId="9" fontId="4" fillId="5" borderId="0" applyAlignment="1" pivotButton="0" quotePrefix="0" xfId="0">
      <alignment horizontal="right" vertical="bottom"/>
    </xf>
    <xf numFmtId="9" fontId="4" fillId="2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left" vertical="bottom"/>
    </xf>
    <xf numFmtId="9" fontId="4" fillId="0" borderId="0" applyAlignment="1" pivotButton="0" quotePrefix="0" xfId="0">
      <alignment horizontal="right" vertical="bottom"/>
    </xf>
    <xf numFmtId="0" fontId="4" fillId="2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" fillId="0" borderId="0" pivotButton="0" quotePrefix="0" xfId="0"/>
    <xf numFmtId="164" fontId="4" fillId="0" borderId="0" applyAlignment="1" pivotButton="0" quotePrefix="0" xfId="0">
      <alignment vertical="bottom"/>
    </xf>
    <xf numFmtId="164" fontId="4" fillId="2" borderId="0" applyAlignment="1" pivotButton="0" quotePrefix="0" xfId="0">
      <alignment vertical="bottom"/>
    </xf>
    <xf numFmtId="0" fontId="4" fillId="2" borderId="0" applyAlignment="1" pivotButton="0" quotePrefix="0" xfId="0">
      <alignment vertical="bottom"/>
    </xf>
    <xf numFmtId="10" fontId="4" fillId="5" borderId="0" applyAlignment="1" pivotButton="0" quotePrefix="0" xfId="0">
      <alignment horizontal="right" vertical="bottom"/>
    </xf>
    <xf numFmtId="164" fontId="4" fillId="0" borderId="0" applyAlignment="1" pivotButton="0" quotePrefix="0" xfId="0">
      <alignment horizontal="right" vertical="bottom"/>
    </xf>
    <xf numFmtId="0" fontId="2" fillId="5" borderId="0" applyAlignment="1" pivotButton="0" quotePrefix="0" xfId="0">
      <alignment vertical="bottom"/>
    </xf>
    <xf numFmtId="0" fontId="4" fillId="5" borderId="0" applyAlignment="1" pivotButton="0" quotePrefix="0" xfId="0">
      <alignment vertical="bottom"/>
    </xf>
    <xf numFmtId="9" fontId="9" fillId="5" borderId="0" applyAlignment="1" pivotButton="0" quotePrefix="0" xfId="0">
      <alignment horizontal="right" vertical="bottom"/>
    </xf>
    <xf numFmtId="0" fontId="5" fillId="0" borderId="0" applyAlignment="1" pivotButton="0" quotePrefix="0" xfId="0">
      <alignment vertical="bottom"/>
    </xf>
    <xf numFmtId="9" fontId="9" fillId="2" borderId="0" applyAlignment="1" pivotButton="0" quotePrefix="0" xfId="0">
      <alignment horizontal="right" vertical="bottom"/>
    </xf>
    <xf numFmtId="164" fontId="9" fillId="0" borderId="0" applyAlignment="1" pivotButton="0" quotePrefix="0" xfId="0">
      <alignment horizontal="left" vertical="bottom"/>
    </xf>
    <xf numFmtId="164" fontId="2" fillId="0" borderId="0" applyAlignment="1" pivotButton="0" quotePrefix="0" xfId="0">
      <alignment vertical="bottom"/>
    </xf>
    <xf numFmtId="10" fontId="4" fillId="0" borderId="0" applyAlignment="1" pivotButton="0" quotePrefix="0" xfId="0">
      <alignment vertical="bottom"/>
    </xf>
    <xf numFmtId="164" fontId="1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rgb="FF9C0006"/>
      </font>
      <fill>
        <patternFill patternType="solid">
          <fgColor rgb="FFF4C7C3"/>
          <bgColor rgb="FFF4C7C3"/>
        </patternFill>
      </fill>
      <border/>
    </dxf>
    <dxf>
      <font>
        <color rgb="FF434343"/>
      </font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tc={06b70685-979c-40e2-864a-930acbf6be69}</author>
  </authors>
  <commentList>
    <comment ref="B14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these cells need the formulas updated as well
</t>
      </text>
    </comment>
  </commentList>
</comments>
</file>

<file path=xl/comments/comment2.xml><?xml version="1.0" encoding="utf-8"?>
<comments xmlns="http://schemas.openxmlformats.org/spreadsheetml/2006/main">
  <authors>
    <author>tc={1aa377d5-eacb-426e-b9af-20f468306fa4}</author>
    <author>tc={b743a7eb-9e07-48e0-9a61-0f8468c9e9f4}</author>
  </authors>
  <commentList>
    <comment ref="O6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@thomas@purepropsolutions.com I do know how to do that on GOogle Sheets I have it on the first tab and need to go through all the others after I make sure the formulas are entered correctly will definitely be done for next week
Assigned to thomas@purepropsolutions.com
</t>
      </text>
    </comment>
    <comment ref="G17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@stephanie@purepropsolutions.com Can you fix these cells so the text is red when the goal isn't hit? It is right on some, not all.
Assigned to stephanie@purepropsolutions.com
Reply:
	Marked as done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n">
        <v>2025</v>
      </c>
      <c r="B1" s="36" t="inlineStr">
        <is>
          <t>Jan</t>
        </is>
      </c>
      <c r="C1" s="36" t="inlineStr">
        <is>
          <t>Feb</t>
        </is>
      </c>
      <c r="D1" s="36" t="inlineStr">
        <is>
          <t>March</t>
        </is>
      </c>
      <c r="E1" s="36" t="inlineStr">
        <is>
          <t>April</t>
        </is>
      </c>
      <c r="F1" s="36" t="inlineStr">
        <is>
          <t>May</t>
        </is>
      </c>
      <c r="G1" s="36" t="inlineStr">
        <is>
          <t>June</t>
        </is>
      </c>
      <c r="H1" s="36" t="inlineStr">
        <is>
          <t>July</t>
        </is>
      </c>
      <c r="I1" s="36" t="inlineStr">
        <is>
          <t>Aug</t>
        </is>
      </c>
      <c r="J1" s="36" t="inlineStr">
        <is>
          <t>Sept</t>
        </is>
      </c>
      <c r="K1" s="36" t="inlineStr">
        <is>
          <t>October</t>
        </is>
      </c>
      <c r="L1" s="36" t="inlineStr">
        <is>
          <t>November</t>
        </is>
      </c>
      <c r="M1" s="36" t="inlineStr">
        <is>
          <t>December</t>
        </is>
      </c>
      <c r="N1" s="27" t="inlineStr">
        <is>
          <t>Full Year</t>
        </is>
      </c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>
      <c r="A2" s="36" t="inlineStr">
        <is>
          <t>Goal %</t>
        </is>
      </c>
      <c r="B2" s="12" t="n">
        <v>0.035</v>
      </c>
      <c r="C2" s="12" t="n">
        <v>0.05</v>
      </c>
      <c r="D2" s="12" t="n">
        <v>0.065</v>
      </c>
      <c r="E2" s="12" t="n">
        <v>0.075</v>
      </c>
      <c r="F2" s="12" t="n">
        <v>0.095</v>
      </c>
      <c r="G2" s="12" t="n">
        <v>0.11</v>
      </c>
      <c r="H2" s="12" t="n">
        <v>0.08</v>
      </c>
      <c r="I2" s="12" t="n">
        <v>0.095</v>
      </c>
      <c r="J2" s="12" t="n">
        <v>0.115</v>
      </c>
      <c r="K2" s="12" t="n">
        <v>0.08500000000000001</v>
      </c>
      <c r="L2" s="12" t="n">
        <v>0.115</v>
      </c>
      <c r="M2" s="12" t="n">
        <v>0.08</v>
      </c>
      <c r="N2" s="17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36" t="inlineStr">
        <is>
          <t>Goal $</t>
        </is>
      </c>
      <c r="B3" s="19" t="n">
        <v>350000</v>
      </c>
      <c r="C3" s="19" t="n">
        <v>500000</v>
      </c>
      <c r="D3" s="19" t="n">
        <v>650000</v>
      </c>
      <c r="E3" s="19" t="n">
        <v>750000</v>
      </c>
      <c r="F3" s="19" t="n">
        <v>950000</v>
      </c>
      <c r="G3" s="19" t="n">
        <v>1100000</v>
      </c>
      <c r="H3" s="19" t="n">
        <v>800000</v>
      </c>
      <c r="I3" s="19" t="n">
        <v>950000</v>
      </c>
      <c r="J3" s="19" t="n">
        <v>1150000</v>
      </c>
      <c r="K3" s="19" t="n">
        <v>850000</v>
      </c>
      <c r="L3" s="19" t="n">
        <v>1150000</v>
      </c>
      <c r="M3" s="19" t="n">
        <v>800000</v>
      </c>
      <c r="N3" s="23" t="n">
        <v>8500000</v>
      </c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36" t="inlineStr">
        <is>
          <t>Actual %</t>
        </is>
      </c>
      <c r="B4" s="17" t="n">
        <v>0.0174</v>
      </c>
      <c r="C4" s="17" t="n">
        <v>0.0262</v>
      </c>
      <c r="D4" s="17" t="n">
        <v>0.0769</v>
      </c>
      <c r="E4" s="17" t="n">
        <v>0.0639</v>
      </c>
      <c r="F4" s="17" t="n">
        <v>0.1217</v>
      </c>
      <c r="G4" s="17" t="n">
        <v>0.1043</v>
      </c>
      <c r="H4" s="17" t="n">
        <v>0.0926</v>
      </c>
      <c r="I4" s="17" t="n">
        <v>0.1142</v>
      </c>
      <c r="J4" s="17" t="n">
        <v>0.1286</v>
      </c>
      <c r="K4" s="17" t="n">
        <v>0.0644</v>
      </c>
      <c r="L4" s="17" t="n">
        <v>0.0437</v>
      </c>
      <c r="M4" s="17" t="n">
        <v>0.1051</v>
      </c>
      <c r="N4" s="27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36" t="inlineStr">
        <is>
          <t>Actual $</t>
        </is>
      </c>
      <c r="B5" s="29" t="n">
        <v>173632</v>
      </c>
      <c r="C5" s="29" t="n">
        <v>261666</v>
      </c>
      <c r="D5" s="29" t="n">
        <v>1248777.78</v>
      </c>
      <c r="E5" s="29" t="n">
        <v>639334</v>
      </c>
      <c r="F5" s="29" t="n">
        <v>1216533</v>
      </c>
      <c r="G5" s="29" t="n">
        <v>1043066</v>
      </c>
      <c r="H5" s="29" t="n">
        <v>926049</v>
      </c>
      <c r="I5" s="29" t="n">
        <v>1141781</v>
      </c>
      <c r="J5" s="29" t="n">
        <v>1286119</v>
      </c>
      <c r="K5" s="29" t="n">
        <v>643737</v>
      </c>
      <c r="L5" s="29" t="n">
        <v>437270</v>
      </c>
      <c r="M5" s="29" t="n">
        <v>1051281</v>
      </c>
      <c r="N5" s="23" t="n">
        <v>9589139</v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36" t="inlineStr">
        <is>
          <t>Difference</t>
        </is>
      </c>
      <c r="B6" s="18">
        <f>B5-B3</f>
        <v/>
      </c>
      <c r="C6" s="18">
        <f>C5-C3</f>
        <v/>
      </c>
      <c r="D6" s="18">
        <f>D5-D3</f>
        <v/>
      </c>
      <c r="E6" s="18">
        <f>E5-E3</f>
        <v/>
      </c>
      <c r="F6" s="18">
        <f>F5-F3</f>
        <v/>
      </c>
      <c r="G6" s="18">
        <f>G5-G3</f>
        <v/>
      </c>
      <c r="H6" s="18">
        <f>H5-H3</f>
        <v/>
      </c>
      <c r="I6" s="18">
        <f>I5-I3</f>
        <v/>
      </c>
      <c r="J6" s="18">
        <f>J5-J3</f>
        <v/>
      </c>
      <c r="K6" s="18">
        <f>K5-K3</f>
        <v/>
      </c>
      <c r="L6" s="18">
        <f>L5-L3</f>
        <v/>
      </c>
      <c r="M6" s="18">
        <f>M5-M3</f>
        <v/>
      </c>
      <c r="N6" s="27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36" t="inlineStr">
        <is>
          <t>% Hit or (Miss)</t>
        </is>
      </c>
      <c r="B7" s="37">
        <f>(B5-B3)/B3</f>
        <v/>
      </c>
      <c r="C7" s="37">
        <f>(C5-C3)/C3</f>
        <v/>
      </c>
      <c r="D7" s="37">
        <f>(D5-D3)/D3</f>
        <v/>
      </c>
      <c r="E7" s="37">
        <f>(E5-E3)/E3</f>
        <v/>
      </c>
      <c r="F7" s="37">
        <f>(F5-F3)/F3</f>
        <v/>
      </c>
      <c r="G7" s="37">
        <f>(G5-G3)/G3</f>
        <v/>
      </c>
      <c r="H7" s="37">
        <f>(H5-H3)/H3</f>
        <v/>
      </c>
      <c r="I7" s="37">
        <f>(I5-I3)/I3</f>
        <v/>
      </c>
      <c r="J7" s="37">
        <f>(J5-J3)/J3</f>
        <v/>
      </c>
      <c r="K7" s="37">
        <f>(K5-K3)/K3</f>
        <v/>
      </c>
      <c r="L7" s="37">
        <f>(L5-L3)/L3</f>
        <v/>
      </c>
      <c r="M7" s="37">
        <f>(M5-M3)/M3</f>
        <v/>
      </c>
      <c r="N7" s="27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" t="n">
        <v>2026</v>
      </c>
      <c r="B9" s="36" t="inlineStr">
        <is>
          <t>Jan</t>
        </is>
      </c>
      <c r="C9" s="36" t="inlineStr">
        <is>
          <t>Feb</t>
        </is>
      </c>
      <c r="D9" s="36" t="inlineStr">
        <is>
          <t>March</t>
        </is>
      </c>
      <c r="E9" s="36" t="inlineStr">
        <is>
          <t>April</t>
        </is>
      </c>
      <c r="F9" s="36" t="inlineStr">
        <is>
          <t>May</t>
        </is>
      </c>
      <c r="G9" s="36" t="inlineStr">
        <is>
          <t>June</t>
        </is>
      </c>
      <c r="H9" s="36" t="inlineStr">
        <is>
          <t>July</t>
        </is>
      </c>
      <c r="I9" s="36" t="inlineStr">
        <is>
          <t>Aug</t>
        </is>
      </c>
      <c r="J9" s="36" t="inlineStr">
        <is>
          <t>Sept</t>
        </is>
      </c>
      <c r="K9" s="36" t="inlineStr">
        <is>
          <t>October</t>
        </is>
      </c>
      <c r="L9" s="36" t="inlineStr">
        <is>
          <t>November</t>
        </is>
      </c>
      <c r="M9" s="36" t="inlineStr">
        <is>
          <t>December</t>
        </is>
      </c>
      <c r="N9" s="36" t="inlineStr">
        <is>
          <t>Full Year</t>
        </is>
      </c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36" t="inlineStr">
        <is>
          <t>Goal %</t>
        </is>
      </c>
      <c r="B10" s="12" t="n">
        <v>0.035</v>
      </c>
      <c r="C10" s="12" t="n">
        <v>0.05</v>
      </c>
      <c r="D10" s="12" t="n">
        <v>0.065</v>
      </c>
      <c r="E10" s="12" t="n">
        <v>0.075</v>
      </c>
      <c r="F10" s="12" t="n">
        <v>0.095</v>
      </c>
      <c r="G10" s="12" t="n">
        <v>0.11</v>
      </c>
      <c r="H10" s="12" t="n">
        <v>0.08</v>
      </c>
      <c r="I10" s="12" t="n">
        <v>0.095</v>
      </c>
      <c r="J10" s="12" t="n">
        <v>0.115</v>
      </c>
      <c r="K10" s="12" t="n">
        <v>0.08500000000000001</v>
      </c>
      <c r="L10" s="12" t="n">
        <v>0.115</v>
      </c>
      <c r="M10" s="12" t="n">
        <v>0.08</v>
      </c>
      <c r="N10" s="17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36" t="inlineStr">
        <is>
          <t>Goal $</t>
        </is>
      </c>
      <c r="B11" s="19">
        <f>B10*$N$11</f>
        <v/>
      </c>
      <c r="C11" s="19">
        <f>C10*$N$11</f>
        <v/>
      </c>
      <c r="D11" s="19">
        <f>D10*$N$11</f>
        <v/>
      </c>
      <c r="E11" s="19">
        <f>E10*$N$11</f>
        <v/>
      </c>
      <c r="F11" s="19">
        <f>F10*$N$11</f>
        <v/>
      </c>
      <c r="G11" s="19">
        <f>G10*$N$11</f>
        <v/>
      </c>
      <c r="H11" s="19">
        <f>H10*$N$11</f>
        <v/>
      </c>
      <c r="I11" s="19">
        <f>I10*$N$11</f>
        <v/>
      </c>
      <c r="J11" s="19">
        <f>J10*$N$11</f>
        <v/>
      </c>
      <c r="K11" s="19">
        <f>K10*$N$11</f>
        <v/>
      </c>
      <c r="L11" s="19">
        <f>L10*$N$11</f>
        <v/>
      </c>
      <c r="M11" s="19">
        <f>M10*$N$11</f>
        <v/>
      </c>
      <c r="N11" s="23" t="n">
        <v>11000000</v>
      </c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>
      <c r="A12" s="36" t="inlineStr">
        <is>
          <t>Actual %</t>
        </is>
      </c>
      <c r="B12" s="17">
        <f>B13/$N$13</f>
        <v/>
      </c>
      <c r="C12" s="17">
        <f>C13/$N$13</f>
        <v/>
      </c>
      <c r="D12" s="17">
        <f>D13/$N$13</f>
        <v/>
      </c>
      <c r="E12" s="17">
        <f>E13/$N$13</f>
        <v/>
      </c>
      <c r="F12" s="17">
        <f>F13/$N$13</f>
        <v/>
      </c>
      <c r="G12" s="17">
        <f>G13/$N$13</f>
        <v/>
      </c>
      <c r="H12" s="17">
        <f>H13/$N$13</f>
        <v/>
      </c>
      <c r="I12" s="17">
        <f>I13/$N$13</f>
        <v/>
      </c>
      <c r="J12" s="17">
        <f>J13/$N$13</f>
        <v/>
      </c>
      <c r="K12" s="17">
        <f>K13/$N$13</f>
        <v/>
      </c>
      <c r="L12" s="17">
        <f>L13/$N$13</f>
        <v/>
      </c>
      <c r="M12" s="17">
        <f>M13/$N$13</f>
        <v/>
      </c>
      <c r="N12" s="39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>
      <c r="A13" s="36" t="inlineStr">
        <is>
          <t>Actual $</t>
        </is>
      </c>
      <c r="B13" s="20" t="n">
        <v>377581.1</v>
      </c>
      <c r="C13" s="20" t="n">
        <v>596662.2</v>
      </c>
      <c r="D13" s="20" t="n">
        <v>1230206.61</v>
      </c>
      <c r="E13" s="42" t="n">
        <v>1224504.5</v>
      </c>
      <c r="F13" s="42" t="n">
        <v>688337.45</v>
      </c>
      <c r="G13" s="42" t="n">
        <v>1600887.87</v>
      </c>
      <c r="H13" s="42" t="n">
        <v>1087024.39</v>
      </c>
      <c r="I13" s="42" t="n"/>
      <c r="J13" s="42" t="n"/>
      <c r="K13" s="42" t="n"/>
      <c r="L13" s="42" t="n"/>
      <c r="M13" s="42" t="n"/>
      <c r="N13" s="23">
        <f>SUM(B13:M13)</f>
        <v/>
      </c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>
      <c r="A14" s="36" t="inlineStr">
        <is>
          <t>Difference</t>
        </is>
      </c>
      <c r="B14" s="18">
        <f>B13-B11</f>
        <v/>
      </c>
      <c r="C14" s="18">
        <f>C13-C11</f>
        <v/>
      </c>
      <c r="D14" s="18">
        <f>D13-D11</f>
        <v/>
      </c>
      <c r="E14" s="18">
        <f>E13-E11</f>
        <v/>
      </c>
      <c r="F14" s="18">
        <f>F13-F11</f>
        <v/>
      </c>
      <c r="G14" s="18">
        <f>G13-G11</f>
        <v/>
      </c>
      <c r="H14" s="18">
        <f>H13-H11</f>
        <v/>
      </c>
      <c r="I14" s="18">
        <f>I13-I11</f>
        <v/>
      </c>
      <c r="J14" s="18">
        <f>J13-J11</f>
        <v/>
      </c>
      <c r="K14" s="18">
        <f>K13-K11</f>
        <v/>
      </c>
      <c r="L14" s="18">
        <f>L13-L11</f>
        <v/>
      </c>
      <c r="M14" s="18">
        <f>M13-M11</f>
        <v/>
      </c>
      <c r="N14" s="41">
        <f>SUM(B14:G14)</f>
        <v/>
      </c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>
      <c r="A15" s="36" t="inlineStr">
        <is>
          <t>% Hit or (Miss)</t>
        </is>
      </c>
      <c r="B15" s="37">
        <f>(B13-B11)/B11</f>
        <v/>
      </c>
      <c r="C15" s="37">
        <f>(C13-C11)/C11</f>
        <v/>
      </c>
      <c r="D15" s="37">
        <f>(D13-D11)/D11</f>
        <v/>
      </c>
      <c r="E15" s="37">
        <f>(E13-E11)/E11</f>
        <v/>
      </c>
      <c r="F15" s="37">
        <f>(F13-F11)/F11</f>
        <v/>
      </c>
      <c r="G15" s="37">
        <f>(G13-G11)/G11</f>
        <v/>
      </c>
      <c r="H15" s="37">
        <f>(H13-H11)/H11</f>
        <v/>
      </c>
      <c r="I15" s="37">
        <f>(I13-I11)/I11</f>
        <v/>
      </c>
      <c r="J15" s="37">
        <f>(J13-J11)/J11</f>
        <v/>
      </c>
      <c r="K15" s="37">
        <f>(K13-K11)/K11</f>
        <v/>
      </c>
      <c r="L15" s="37">
        <f>(L13-L11)/L11</f>
        <v/>
      </c>
      <c r="M15" s="37">
        <f>(M13-M11)/M11</f>
        <v/>
      </c>
      <c r="N15" s="27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</row>
  </sheetData>
  <conditionalFormatting sqref="B6:M7">
    <cfRule type="cellIs" priority="1" operator="lessThan" dxfId="2">
      <formula>0</formula>
    </cfRule>
    <cfRule type="cellIs" priority="2" operator="greaterThan" dxfId="0">
      <formula>0</formula>
    </cfRule>
  </conditionalFormatting>
  <conditionalFormatting sqref="B14:M15">
    <cfRule type="cellIs" priority="3" operator="greaterThan" dxfId="0">
      <formula>0</formula>
    </cfRule>
    <cfRule type="cellIs" priority="4" operator="lessThanOrEqual" dxfId="1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Q100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5" customWidth="1" style="56" min="1" max="1"/>
    <col width="16.88" customWidth="1" style="56" min="14" max="14"/>
  </cols>
  <sheetData>
    <row r="1">
      <c r="A1" s="3" t="n"/>
      <c r="B1" s="28" t="inlineStr">
        <is>
          <t>Jan</t>
        </is>
      </c>
      <c r="C1" s="28" t="inlineStr">
        <is>
          <t>Feb</t>
        </is>
      </c>
      <c r="D1" s="28" t="inlineStr">
        <is>
          <t>March</t>
        </is>
      </c>
      <c r="E1" s="28" t="inlineStr">
        <is>
          <t>April</t>
        </is>
      </c>
      <c r="F1" s="28" t="inlineStr">
        <is>
          <t>May</t>
        </is>
      </c>
      <c r="G1" s="28" t="inlineStr">
        <is>
          <t>June</t>
        </is>
      </c>
      <c r="H1" s="28" t="inlineStr">
        <is>
          <t>July</t>
        </is>
      </c>
      <c r="I1" s="28" t="inlineStr">
        <is>
          <t>Aug</t>
        </is>
      </c>
      <c r="J1" s="28" t="inlineStr">
        <is>
          <t>Sept</t>
        </is>
      </c>
      <c r="K1" s="28" t="inlineStr">
        <is>
          <t>October</t>
        </is>
      </c>
      <c r="L1" s="28" t="inlineStr">
        <is>
          <t>November</t>
        </is>
      </c>
      <c r="M1" s="28" t="inlineStr">
        <is>
          <t>December</t>
        </is>
      </c>
      <c r="N1" s="41" t="n"/>
    </row>
    <row r="2">
      <c r="A2" s="10" t="inlineStr">
        <is>
          <t>Thomas Historial</t>
        </is>
      </c>
      <c r="B2" s="12" t="n">
        <v>0.05</v>
      </c>
      <c r="C2" s="12" t="n">
        <v>0.05</v>
      </c>
      <c r="D2" s="12" t="n">
        <v>0.05</v>
      </c>
      <c r="E2" s="12" t="n">
        <v>0.075</v>
      </c>
      <c r="F2" s="12" t="n">
        <v>0.095</v>
      </c>
      <c r="G2" s="12" t="n">
        <v>0.11</v>
      </c>
      <c r="H2" s="12" t="n">
        <v>0.08</v>
      </c>
      <c r="I2" s="12" t="n">
        <v>0.095</v>
      </c>
      <c r="J2" s="12" t="n">
        <v>0.115</v>
      </c>
      <c r="K2" s="12" t="n">
        <v>0.08500000000000001</v>
      </c>
      <c r="L2" s="12" t="n">
        <v>0.115</v>
      </c>
      <c r="M2" s="12" t="n">
        <v>0.08</v>
      </c>
      <c r="N2" s="41" t="n"/>
    </row>
    <row r="3">
      <c r="A3" s="14" t="inlineStr">
        <is>
          <t>Thomas Goal</t>
        </is>
      </c>
      <c r="B3" s="18">
        <f>B2*$N$3</f>
        <v/>
      </c>
      <c r="C3" s="18">
        <f>C2*$N$3</f>
        <v/>
      </c>
      <c r="D3" s="18">
        <f>D2*$N$3</f>
        <v/>
      </c>
      <c r="E3" s="18">
        <f>E2*$N$3</f>
        <v/>
      </c>
      <c r="F3" s="18">
        <f>F2*$N$3</f>
        <v/>
      </c>
      <c r="G3" s="18">
        <f>G2*$N$3</f>
        <v/>
      </c>
      <c r="H3" s="18">
        <f>H2*$N$3</f>
        <v/>
      </c>
      <c r="I3" s="18">
        <f>I2*$N$3</f>
        <v/>
      </c>
      <c r="J3" s="18">
        <f>J2*$N$3</f>
        <v/>
      </c>
      <c r="K3" s="18">
        <f>K2*$N$3</f>
        <v/>
      </c>
      <c r="L3" s="18">
        <f>L2*$N$3</f>
        <v/>
      </c>
      <c r="M3" s="18">
        <f>M2*$N$3</f>
        <v/>
      </c>
      <c r="N3" s="18" t="n">
        <v>1500000</v>
      </c>
    </row>
    <row r="4">
      <c r="A4" s="14" t="inlineStr">
        <is>
          <t>Thomas Actual</t>
        </is>
      </c>
      <c r="B4" s="20">
        <f>33300+B34</f>
        <v/>
      </c>
      <c r="C4" s="20" t="n">
        <v>2264</v>
      </c>
      <c r="D4" s="42" t="n">
        <v>45340</v>
      </c>
      <c r="E4" s="42" t="n">
        <v>123268</v>
      </c>
      <c r="F4" s="42" t="n">
        <v>122919.45</v>
      </c>
      <c r="G4" s="42" t="n">
        <v>434606.89</v>
      </c>
      <c r="H4" s="42" t="n">
        <v>21200</v>
      </c>
      <c r="I4" s="42" t="n"/>
      <c r="J4" s="42" t="n"/>
      <c r="K4" s="42" t="n"/>
      <c r="L4" s="42" t="n"/>
      <c r="M4" s="42" t="n"/>
      <c r="N4" s="24">
        <f>SUM(B4:M4)</f>
        <v/>
      </c>
    </row>
    <row r="5">
      <c r="A5" s="14" t="inlineStr">
        <is>
          <t>Difference</t>
        </is>
      </c>
      <c r="B5" s="25">
        <f>B4-B3</f>
        <v/>
      </c>
      <c r="C5" s="25">
        <f>C4-C3</f>
        <v/>
      </c>
      <c r="D5" s="25">
        <f>D4-D3</f>
        <v/>
      </c>
      <c r="E5" s="26">
        <f>E4-E3</f>
        <v/>
      </c>
      <c r="F5" s="25">
        <f>F4-F3</f>
        <v/>
      </c>
      <c r="G5" s="25">
        <f>G4-G3</f>
        <v/>
      </c>
      <c r="H5" s="25">
        <f>H4-H3</f>
        <v/>
      </c>
      <c r="I5" s="25">
        <f>I4-I3</f>
        <v/>
      </c>
      <c r="J5" s="25">
        <f>J4-J3</f>
        <v/>
      </c>
      <c r="K5" s="25">
        <f>K4-K3</f>
        <v/>
      </c>
      <c r="L5" s="25">
        <f>L4-L3</f>
        <v/>
      </c>
      <c r="M5" s="25">
        <f>M4-M3</f>
        <v/>
      </c>
      <c r="N5" s="41">
        <f>N4-N3</f>
        <v/>
      </c>
    </row>
    <row r="6">
      <c r="A6" s="28" t="inlineStr">
        <is>
          <t>% Hit or (Miss)</t>
        </is>
      </c>
      <c r="B6" s="30">
        <f>B5/B3</f>
        <v/>
      </c>
      <c r="C6" s="30">
        <f>C5/C3</f>
        <v/>
      </c>
      <c r="D6" s="30">
        <f>D5/D3</f>
        <v/>
      </c>
      <c r="E6" s="31">
        <f>E5/E3</f>
        <v/>
      </c>
      <c r="F6" s="30">
        <f>F5/F3</f>
        <v/>
      </c>
      <c r="G6" s="30">
        <f>G5/G3</f>
        <v/>
      </c>
      <c r="H6" s="30">
        <f>H5/H3</f>
        <v/>
      </c>
      <c r="I6" s="30">
        <f>I5/I3</f>
        <v/>
      </c>
      <c r="J6" s="30">
        <f>J5/J3</f>
        <v/>
      </c>
      <c r="K6" s="30">
        <f>K5/K3</f>
        <v/>
      </c>
      <c r="L6" s="30">
        <f>L5/L3</f>
        <v/>
      </c>
      <c r="M6" s="30">
        <f>M5/M3</f>
        <v/>
      </c>
      <c r="N6" s="41" t="n"/>
      <c r="O6" s="32" t="n"/>
    </row>
    <row r="7">
      <c r="A7" s="33" t="n"/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41" t="n"/>
    </row>
    <row r="8">
      <c r="A8" s="10" t="inlineStr">
        <is>
          <t>Tony Historial</t>
        </is>
      </c>
      <c r="B8" s="35" t="n">
        <v>0.02</v>
      </c>
      <c r="C8" s="35" t="n">
        <v>0.1</v>
      </c>
      <c r="D8" s="35" t="n">
        <v>0.02</v>
      </c>
      <c r="E8" s="35" t="n">
        <v>0.03</v>
      </c>
      <c r="F8" s="35" t="n">
        <v>0.08</v>
      </c>
      <c r="G8" s="35" t="n">
        <v>0.12</v>
      </c>
      <c r="H8" s="35" t="n">
        <v>0.05</v>
      </c>
      <c r="I8" s="35" t="n">
        <v>0.19</v>
      </c>
      <c r="J8" s="35" t="n">
        <v>0.14</v>
      </c>
      <c r="K8" s="35" t="n">
        <v>0.04</v>
      </c>
      <c r="L8" s="35" t="n">
        <v>0.06</v>
      </c>
      <c r="M8" s="35" t="n">
        <v>0.15</v>
      </c>
      <c r="N8" s="41" t="n"/>
    </row>
    <row r="9">
      <c r="A9" s="28" t="inlineStr">
        <is>
          <t>Tony Goal</t>
        </is>
      </c>
      <c r="B9" s="18">
        <f>B8*$N$9</f>
        <v/>
      </c>
      <c r="C9" s="18">
        <f>C8*$N$9</f>
        <v/>
      </c>
      <c r="D9" s="18">
        <f>D8*$N$9</f>
        <v/>
      </c>
      <c r="E9" s="18">
        <f>E8*$N$9</f>
        <v/>
      </c>
      <c r="F9" s="18">
        <f>F8*$N$9</f>
        <v/>
      </c>
      <c r="G9" s="18">
        <f>G8*$N$9</f>
        <v/>
      </c>
      <c r="H9" s="18">
        <f>H8*$N$9</f>
        <v/>
      </c>
      <c r="I9" s="18">
        <f>I8*$N$9</f>
        <v/>
      </c>
      <c r="J9" s="18">
        <f>J8*$N$9</f>
        <v/>
      </c>
      <c r="K9" s="18">
        <f>K8*$N$9</f>
        <v/>
      </c>
      <c r="L9" s="18">
        <f>L8*$N$9</f>
        <v/>
      </c>
      <c r="M9" s="18">
        <f>M8*$N$9</f>
        <v/>
      </c>
      <c r="N9" s="18" t="n">
        <v>2250000</v>
      </c>
    </row>
    <row r="10">
      <c r="A10" s="3" t="inlineStr">
        <is>
          <t>Tony Actual</t>
        </is>
      </c>
      <c r="B10" s="29">
        <f>39235+B35</f>
        <v/>
      </c>
      <c r="C10" s="29">
        <f>43126.2+C35</f>
        <v/>
      </c>
      <c r="D10" s="29">
        <f>137335.78+D35</f>
        <v/>
      </c>
      <c r="E10" s="42">
        <f>48995+E35</f>
        <v/>
      </c>
      <c r="F10" s="42">
        <f>F35+40205</f>
        <v/>
      </c>
      <c r="G10" s="42">
        <f>111436.98+G35</f>
        <v/>
      </c>
      <c r="H10" s="42">
        <f>253820.39+H35</f>
        <v/>
      </c>
      <c r="I10" s="43" t="n"/>
      <c r="J10" s="43" t="n"/>
      <c r="K10" s="43" t="n"/>
      <c r="L10" s="43" t="n"/>
      <c r="M10" s="43" t="n"/>
      <c r="N10" s="24">
        <f>SUM(B10:M10)</f>
        <v/>
      </c>
    </row>
    <row r="11">
      <c r="A11" s="14" t="inlineStr">
        <is>
          <t>Difference</t>
        </is>
      </c>
      <c r="B11" s="26">
        <f>B10-B9</f>
        <v/>
      </c>
      <c r="C11" s="26">
        <f>C10-C9</f>
        <v/>
      </c>
      <c r="D11" s="26">
        <f>D10-D9</f>
        <v/>
      </c>
      <c r="E11" s="26">
        <f>E10-E9</f>
        <v/>
      </c>
      <c r="F11" s="26">
        <f>F10-F9</f>
        <v/>
      </c>
      <c r="G11" s="26">
        <f>G10-G9</f>
        <v/>
      </c>
      <c r="H11" s="26">
        <f>H10-H9</f>
        <v/>
      </c>
      <c r="I11" s="26">
        <f>I10-I9</f>
        <v/>
      </c>
      <c r="J11" s="26">
        <f>J10-J9</f>
        <v/>
      </c>
      <c r="K11" s="26">
        <f>K10-K9</f>
        <v/>
      </c>
      <c r="L11" s="26">
        <f>L10-L9</f>
        <v/>
      </c>
      <c r="M11" s="26">
        <f>M10-M9</f>
        <v/>
      </c>
      <c r="N11" s="41">
        <f>N10-N9</f>
        <v/>
      </c>
    </row>
    <row r="12">
      <c r="A12" s="28" t="inlineStr">
        <is>
          <t>% Hit or (Miss)</t>
        </is>
      </c>
      <c r="B12" s="31">
        <f>B11/B9</f>
        <v/>
      </c>
      <c r="C12" s="31">
        <f>C11/C9</f>
        <v/>
      </c>
      <c r="D12" s="31">
        <f>D11/D9</f>
        <v/>
      </c>
      <c r="E12" s="31">
        <f>E11/E9</f>
        <v/>
      </c>
      <c r="F12" s="31">
        <f>F11/F9</f>
        <v/>
      </c>
      <c r="G12" s="31">
        <f>G11/G9</f>
        <v/>
      </c>
      <c r="H12" s="31">
        <f>H11/H9</f>
        <v/>
      </c>
      <c r="I12" s="31">
        <f>I11/I9</f>
        <v/>
      </c>
      <c r="J12" s="31">
        <f>J11/J9</f>
        <v/>
      </c>
      <c r="K12" s="31">
        <f>K11/K9</f>
        <v/>
      </c>
      <c r="L12" s="31">
        <f>L11/L9</f>
        <v/>
      </c>
      <c r="M12" s="31">
        <f>M11/M9</f>
        <v/>
      </c>
      <c r="N12" s="41" t="n"/>
    </row>
    <row r="13">
      <c r="A13" s="33" t="n"/>
      <c r="B13" s="34" t="n"/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41" t="n"/>
    </row>
    <row r="14">
      <c r="A14" s="10" t="inlineStr">
        <is>
          <t>Adam Historial</t>
        </is>
      </c>
      <c r="B14" s="35" t="n">
        <v>0.05</v>
      </c>
      <c r="C14" s="35" t="n">
        <v>0.05</v>
      </c>
      <c r="D14" s="35" t="n">
        <v>0.08</v>
      </c>
      <c r="E14" s="35" t="n">
        <v>0.1</v>
      </c>
      <c r="F14" s="35" t="n">
        <v>0.21</v>
      </c>
      <c r="G14" s="35" t="n">
        <v>0.12</v>
      </c>
      <c r="H14" s="35" t="n">
        <v>0.04</v>
      </c>
      <c r="I14" s="35" t="n">
        <v>0.07000000000000001</v>
      </c>
      <c r="J14" s="35" t="n">
        <v>0.07000000000000001</v>
      </c>
      <c r="K14" s="35" t="n">
        <v>0.08</v>
      </c>
      <c r="L14" s="35" t="n">
        <v>0.03</v>
      </c>
      <c r="M14" s="35" t="n">
        <v>0.11</v>
      </c>
      <c r="N14" s="41" t="n"/>
    </row>
    <row r="15">
      <c r="A15" s="3" t="inlineStr">
        <is>
          <t>Adam Goal</t>
        </is>
      </c>
      <c r="B15" s="18">
        <f>B14*$N$15</f>
        <v/>
      </c>
      <c r="C15" s="18">
        <f>C14*$N$15</f>
        <v/>
      </c>
      <c r="D15" s="18">
        <f>D14*$N$15</f>
        <v/>
      </c>
      <c r="E15" s="18">
        <f>E14*$N$15</f>
        <v/>
      </c>
      <c r="F15" s="18">
        <f>F14*$N$15</f>
        <v/>
      </c>
      <c r="G15" s="18">
        <f>G14*$N$15</f>
        <v/>
      </c>
      <c r="H15" s="18">
        <f>H14*$N$15</f>
        <v/>
      </c>
      <c r="I15" s="18">
        <f>I14*$N$15</f>
        <v/>
      </c>
      <c r="J15" s="18">
        <f>J14*$N$15</f>
        <v/>
      </c>
      <c r="K15" s="18">
        <f>K14*$N$15</f>
        <v/>
      </c>
      <c r="L15" s="18">
        <f>L14*$N$15</f>
        <v/>
      </c>
      <c r="M15" s="18">
        <f>M14*$N$15</f>
        <v/>
      </c>
      <c r="N15" s="18" t="n">
        <v>3500000</v>
      </c>
    </row>
    <row r="16">
      <c r="A16" s="3" t="inlineStr">
        <is>
          <t>Adam Actual</t>
        </is>
      </c>
      <c r="B16" s="29">
        <f>127099.5+B36</f>
        <v/>
      </c>
      <c r="C16" s="29">
        <f>233620+C36</f>
        <v/>
      </c>
      <c r="D16" s="29">
        <f>477205.33+D36</f>
        <v/>
      </c>
      <c r="E16" s="42">
        <f>751607+E36</f>
        <v/>
      </c>
      <c r="F16" s="42">
        <f>F36+142174</f>
        <v/>
      </c>
      <c r="G16" s="42">
        <f>245847+G36</f>
        <v/>
      </c>
      <c r="H16" s="42">
        <f>105250+H36</f>
        <v/>
      </c>
      <c r="I16" s="43" t="n"/>
      <c r="J16" s="43" t="n"/>
      <c r="K16" s="43" t="n"/>
      <c r="L16" s="43" t="n"/>
      <c r="M16" s="43" t="n"/>
      <c r="N16" s="24">
        <f>SUM(B16:M16)</f>
        <v/>
      </c>
      <c r="Q16" s="7" t="n"/>
    </row>
    <row r="17">
      <c r="A17" s="3" t="inlineStr">
        <is>
          <t>Difference</t>
        </is>
      </c>
      <c r="B17" s="26">
        <f>B16-B15</f>
        <v/>
      </c>
      <c r="C17" s="26">
        <f>C16-C15</f>
        <v/>
      </c>
      <c r="D17" s="26">
        <f>D16-D15</f>
        <v/>
      </c>
      <c r="E17" s="26">
        <f>E16-E15</f>
        <v/>
      </c>
      <c r="F17" s="26">
        <f>F16-F15</f>
        <v/>
      </c>
      <c r="G17" s="26">
        <f>G16-G15</f>
        <v/>
      </c>
      <c r="H17" s="26">
        <f>H16-H15</f>
        <v/>
      </c>
      <c r="I17" s="26">
        <f>I16-I15</f>
        <v/>
      </c>
      <c r="J17" s="26">
        <f>J16-J15</f>
        <v/>
      </c>
      <c r="K17" s="26">
        <f>K16-K15</f>
        <v/>
      </c>
      <c r="L17" s="26">
        <f>L16-L15</f>
        <v/>
      </c>
      <c r="M17" s="26">
        <f>M16-M15</f>
        <v/>
      </c>
      <c r="N17" s="41">
        <f>N16-N15</f>
        <v/>
      </c>
    </row>
    <row r="18">
      <c r="A18" s="28" t="inlineStr">
        <is>
          <t>% Hit or (Miss)</t>
        </is>
      </c>
      <c r="B18" s="31">
        <f>B17/B15</f>
        <v/>
      </c>
      <c r="C18" s="31">
        <f>C17/C15</f>
        <v/>
      </c>
      <c r="D18" s="31">
        <f>D17/D15</f>
        <v/>
      </c>
      <c r="E18" s="31">
        <f>E17/E15</f>
        <v/>
      </c>
      <c r="F18" s="31">
        <f>F17/F15</f>
        <v/>
      </c>
      <c r="G18" s="31">
        <f>G17/G15</f>
        <v/>
      </c>
      <c r="H18" s="31">
        <f>H17/H15</f>
        <v/>
      </c>
      <c r="I18" s="31">
        <f>I17/I15</f>
        <v/>
      </c>
      <c r="J18" s="31">
        <f>J17/J15</f>
        <v/>
      </c>
      <c r="K18" s="31">
        <f>K17/K15</f>
        <v/>
      </c>
      <c r="L18" s="31">
        <f>L17/L15</f>
        <v/>
      </c>
      <c r="M18" s="31">
        <f>M17/M15</f>
        <v/>
      </c>
      <c r="N18" s="41" t="n"/>
    </row>
    <row r="19">
      <c r="A19" s="33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5" t="n"/>
    </row>
    <row r="20">
      <c r="A20" s="10" t="inlineStr">
        <is>
          <t>PPS Historial</t>
        </is>
      </c>
      <c r="B20" s="12" t="n">
        <v>0.05</v>
      </c>
      <c r="C20" s="12" t="n">
        <v>0.05</v>
      </c>
      <c r="D20" s="12" t="n">
        <v>0.05</v>
      </c>
      <c r="E20" s="12" t="n">
        <v>0.075</v>
      </c>
      <c r="F20" s="12" t="n">
        <v>0.095</v>
      </c>
      <c r="G20" s="12" t="n">
        <v>0.11</v>
      </c>
      <c r="H20" s="12" t="n">
        <v>0.08</v>
      </c>
      <c r="I20" s="12" t="n">
        <v>0.095</v>
      </c>
      <c r="J20" s="12" t="n">
        <v>0.115</v>
      </c>
      <c r="K20" s="12" t="n">
        <v>0.08500000000000001</v>
      </c>
      <c r="L20" s="12" t="n">
        <v>0.115</v>
      </c>
      <c r="M20" s="12" t="n">
        <v>0.08</v>
      </c>
      <c r="N20" s="37">
        <f>sum(B20:M20)</f>
        <v/>
      </c>
    </row>
    <row r="21">
      <c r="A21" s="28" t="inlineStr">
        <is>
          <t>Andy Goal</t>
        </is>
      </c>
      <c r="B21" s="18">
        <f>B20*$N$21</f>
        <v/>
      </c>
      <c r="C21" s="18">
        <f>C20*$N$21</f>
        <v/>
      </c>
      <c r="D21" s="18">
        <f>D20*$N$21</f>
        <v/>
      </c>
      <c r="E21" s="18">
        <f>E20*$N$21</f>
        <v/>
      </c>
      <c r="F21" s="18">
        <f>F20*$N$21</f>
        <v/>
      </c>
      <c r="G21" s="18">
        <f>G20*$N$21</f>
        <v/>
      </c>
      <c r="H21" s="18">
        <f>H20*$N$21</f>
        <v/>
      </c>
      <c r="I21" s="18">
        <f>I20*$N$21</f>
        <v/>
      </c>
      <c r="J21" s="18">
        <f>J20*$N$21</f>
        <v/>
      </c>
      <c r="K21" s="18">
        <f>K20*$N$21</f>
        <v/>
      </c>
      <c r="L21" s="18">
        <f>L20*$N$21</f>
        <v/>
      </c>
      <c r="M21" s="18">
        <f>M20*$N$21</f>
        <v/>
      </c>
      <c r="N21" s="18" t="n">
        <v>2000000</v>
      </c>
    </row>
    <row r="22">
      <c r="A22" s="3" t="inlineStr">
        <is>
          <t>Andy Actual</t>
        </is>
      </c>
      <c r="B22" s="29">
        <f>93855+B37</f>
        <v/>
      </c>
      <c r="C22" s="29">
        <f>26165+C37</f>
        <v/>
      </c>
      <c r="D22" s="29">
        <f>359980+D37</f>
        <v/>
      </c>
      <c r="E22" s="42">
        <f>100885+E37</f>
        <v/>
      </c>
      <c r="F22" s="42">
        <f>F37+53310</f>
        <v/>
      </c>
      <c r="G22" s="42">
        <f>112440+G37</f>
        <v/>
      </c>
      <c r="H22" s="42">
        <f>H37+113675</f>
        <v/>
      </c>
      <c r="I22" s="43" t="n"/>
      <c r="J22" s="43" t="n"/>
      <c r="K22" s="43" t="n"/>
      <c r="L22" s="43" t="n"/>
      <c r="M22" s="43" t="n"/>
      <c r="N22" s="24">
        <f>SUM(B22:M22)</f>
        <v/>
      </c>
    </row>
    <row r="23">
      <c r="A23" s="3" t="inlineStr">
        <is>
          <t>Difference</t>
        </is>
      </c>
      <c r="B23" s="26">
        <f>B22-B21</f>
        <v/>
      </c>
      <c r="C23" s="26">
        <f>C22-C21</f>
        <v/>
      </c>
      <c r="D23" s="26">
        <f>D22-D21</f>
        <v/>
      </c>
      <c r="E23" s="26">
        <f>E22-E21</f>
        <v/>
      </c>
      <c r="F23" s="26">
        <f>F22-F21</f>
        <v/>
      </c>
      <c r="G23" s="26">
        <f>G22-G21</f>
        <v/>
      </c>
      <c r="H23" s="26">
        <f>H22-H21</f>
        <v/>
      </c>
      <c r="I23" s="26">
        <f>I22-I21</f>
        <v/>
      </c>
      <c r="J23" s="26">
        <f>J22-J21</f>
        <v/>
      </c>
      <c r="K23" s="26">
        <f>K22-K21</f>
        <v/>
      </c>
      <c r="L23" s="26">
        <f>L22-L21</f>
        <v/>
      </c>
      <c r="M23" s="26">
        <f>M22-M21</f>
        <v/>
      </c>
      <c r="N23" s="41">
        <f>N22-N21</f>
        <v/>
      </c>
    </row>
    <row r="24">
      <c r="A24" s="28" t="inlineStr">
        <is>
          <t>% Hit or (Miss)</t>
        </is>
      </c>
      <c r="B24" s="31">
        <f>B23/B21</f>
        <v/>
      </c>
      <c r="C24" s="31">
        <f>C23/C21</f>
        <v/>
      </c>
      <c r="D24" s="31">
        <f>D23/D21</f>
        <v/>
      </c>
      <c r="E24" s="31">
        <f>E23/E21</f>
        <v/>
      </c>
      <c r="F24" s="31">
        <f>F23/F21</f>
        <v/>
      </c>
      <c r="G24" s="31">
        <f>G23/G21</f>
        <v/>
      </c>
      <c r="H24" s="31">
        <f>H23/H21</f>
        <v/>
      </c>
      <c r="I24" s="31">
        <f>I23/I21</f>
        <v/>
      </c>
      <c r="J24" s="31">
        <f>J23/J21</f>
        <v/>
      </c>
      <c r="K24" s="31">
        <f>K23/K21</f>
        <v/>
      </c>
      <c r="L24" s="31">
        <f>L23/L21</f>
        <v/>
      </c>
      <c r="M24" s="31">
        <f>M23/M21</f>
        <v/>
      </c>
      <c r="N24" s="41" t="n"/>
    </row>
    <row r="25">
      <c r="A25" s="46" t="n"/>
      <c r="B25" s="47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5" t="n"/>
    </row>
    <row r="26">
      <c r="A26" s="49" t="inlineStr">
        <is>
          <t>PPS Historial</t>
        </is>
      </c>
      <c r="B26" s="43" t="n"/>
      <c r="C26" s="50" t="n">
        <v>0.05</v>
      </c>
      <c r="D26" s="50" t="n">
        <v>0.05</v>
      </c>
      <c r="E26" s="50" t="n">
        <v>0.075</v>
      </c>
      <c r="F26" s="50" t="n">
        <v>0.095</v>
      </c>
      <c r="G26" s="50" t="n">
        <v>0.1</v>
      </c>
      <c r="H26" s="50" t="n">
        <v>0.1</v>
      </c>
      <c r="I26" s="50" t="n">
        <v>0.1</v>
      </c>
      <c r="J26" s="50" t="n">
        <v>0.12</v>
      </c>
      <c r="K26" s="50" t="n">
        <v>0.1</v>
      </c>
      <c r="L26" s="50" t="n">
        <v>0.12</v>
      </c>
      <c r="M26" s="50" t="n">
        <v>0.09</v>
      </c>
      <c r="N26" s="37">
        <f>sum(B26:M26)</f>
        <v/>
      </c>
    </row>
    <row r="27">
      <c r="A27" s="28" t="inlineStr">
        <is>
          <t>Rachel Goal</t>
        </is>
      </c>
      <c r="B27" s="36" t="inlineStr">
        <is>
          <t>$ -</t>
        </is>
      </c>
      <c r="C27" s="51" t="n">
        <v>37500</v>
      </c>
      <c r="D27" s="51" t="n">
        <v>60000</v>
      </c>
      <c r="E27" s="51" t="n">
        <v>67500</v>
      </c>
      <c r="F27" s="51" t="n">
        <v>71250</v>
      </c>
      <c r="G27" s="51" t="n">
        <v>75000</v>
      </c>
      <c r="H27" s="51" t="n">
        <v>67500</v>
      </c>
      <c r="I27" s="51" t="n">
        <v>67500</v>
      </c>
      <c r="J27" s="51" t="n">
        <v>86250</v>
      </c>
      <c r="K27" s="51" t="n">
        <v>67500</v>
      </c>
      <c r="L27" s="51" t="n">
        <v>86250</v>
      </c>
      <c r="M27" s="51" t="n">
        <v>67500</v>
      </c>
      <c r="N27" s="18" t="n">
        <v>750000</v>
      </c>
    </row>
    <row r="28">
      <c r="A28" s="3" t="inlineStr">
        <is>
          <t>Rachel Actual</t>
        </is>
      </c>
      <c r="B28" s="42" t="n"/>
      <c r="C28" s="20">
        <f>C38</f>
        <v/>
      </c>
      <c r="D28" s="20">
        <f>13521+D38</f>
        <v/>
      </c>
      <c r="E28" s="42">
        <f>10350+E38</f>
        <v/>
      </c>
      <c r="F28" s="42">
        <f>F38+20525</f>
        <v/>
      </c>
      <c r="G28" s="42">
        <f>107127+G38</f>
        <v/>
      </c>
      <c r="H28" s="42">
        <f>19239+H38</f>
        <v/>
      </c>
      <c r="I28" s="42" t="n"/>
      <c r="J28" s="42" t="n"/>
      <c r="K28" s="42" t="n"/>
      <c r="L28" s="42" t="n"/>
      <c r="M28" s="42" t="n"/>
      <c r="N28" s="52">
        <f>SUM(B28:M28)</f>
        <v/>
      </c>
    </row>
    <row r="29">
      <c r="A29" s="3" t="inlineStr">
        <is>
          <t>Difference</t>
        </is>
      </c>
      <c r="B29" s="36" t="inlineStr">
        <is>
          <t>$ -</t>
        </is>
      </c>
      <c r="C29" s="25">
        <f>C28-C27</f>
        <v/>
      </c>
      <c r="D29" s="25">
        <f>D28-D27</f>
        <v/>
      </c>
      <c r="E29" s="25">
        <f>E28-E27</f>
        <v/>
      </c>
      <c r="F29" s="25">
        <f>F28-F27</f>
        <v/>
      </c>
      <c r="G29" s="25">
        <f>G28-G27</f>
        <v/>
      </c>
      <c r="H29" s="25">
        <f>H28-H27</f>
        <v/>
      </c>
      <c r="I29" s="25">
        <f>I28-I27</f>
        <v/>
      </c>
      <c r="J29" s="25">
        <f>J28-J27</f>
        <v/>
      </c>
      <c r="K29" s="25">
        <f>K28-K27</f>
        <v/>
      </c>
      <c r="L29" s="25">
        <f>L28-L27</f>
        <v/>
      </c>
      <c r="M29" s="25">
        <f>M28-M27</f>
        <v/>
      </c>
      <c r="N29" s="41">
        <f>N28-N27</f>
        <v/>
      </c>
    </row>
    <row r="30">
      <c r="A30" s="28" t="inlineStr">
        <is>
          <t>% Hit or (Miss)</t>
        </is>
      </c>
      <c r="B30" s="27" t="n"/>
      <c r="C30" s="53">
        <f>C29/C27</f>
        <v/>
      </c>
      <c r="D30" s="53">
        <f>D29/D27</f>
        <v/>
      </c>
      <c r="E30" s="53">
        <f>E29/E27</f>
        <v/>
      </c>
      <c r="F30" s="53">
        <f>F29/F27</f>
        <v/>
      </c>
      <c r="G30" s="53">
        <f>G29/G27</f>
        <v/>
      </c>
      <c r="H30" s="53">
        <f>H29/H27</f>
        <v/>
      </c>
      <c r="I30" s="53">
        <f>I29/I27</f>
        <v/>
      </c>
      <c r="J30" s="53">
        <f>J29/J27</f>
        <v/>
      </c>
      <c r="K30" s="53">
        <f>K29/K27</f>
        <v/>
      </c>
      <c r="L30" s="53">
        <f>L29/L27</f>
        <v/>
      </c>
      <c r="M30" s="53">
        <f>M29/M27</f>
        <v/>
      </c>
      <c r="N30" s="41" t="n"/>
    </row>
    <row r="31"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inlineStr">
        <is>
          <t>Total</t>
        </is>
      </c>
      <c r="N31" s="54">
        <f>N22+N28+N16+N10+N4</f>
        <v/>
      </c>
    </row>
    <row r="32">
      <c r="A32" s="55" t="inlineStr">
        <is>
          <t>These numbers are included in each individual sales monthly numbers</t>
        </is>
      </c>
      <c r="N32" s="41">
        <f>N31-(N27+N21+N15+N9+N3)</f>
        <v/>
      </c>
    </row>
    <row r="33">
      <c r="B33" s="28" t="inlineStr">
        <is>
          <t>Jan</t>
        </is>
      </c>
      <c r="C33" s="28" t="inlineStr">
        <is>
          <t>Feb</t>
        </is>
      </c>
      <c r="D33" s="28" t="inlineStr">
        <is>
          <t>March</t>
        </is>
      </c>
      <c r="E33" s="28" t="inlineStr">
        <is>
          <t>April</t>
        </is>
      </c>
      <c r="F33" s="28" t="inlineStr">
        <is>
          <t>May</t>
        </is>
      </c>
      <c r="G33" s="28" t="inlineStr">
        <is>
          <t>June</t>
        </is>
      </c>
      <c r="H33" s="28" t="inlineStr">
        <is>
          <t>July</t>
        </is>
      </c>
      <c r="I33" s="28" t="inlineStr">
        <is>
          <t>Aug</t>
        </is>
      </c>
      <c r="J33" s="28" t="inlineStr">
        <is>
          <t>Sept</t>
        </is>
      </c>
      <c r="K33" s="28" t="inlineStr">
        <is>
          <t>October</t>
        </is>
      </c>
      <c r="L33" s="28" t="inlineStr">
        <is>
          <t>November</t>
        </is>
      </c>
      <c r="M33" s="28" t="inlineStr">
        <is>
          <t>December</t>
        </is>
      </c>
      <c r="N33" s="7" t="n"/>
    </row>
    <row r="34">
      <c r="A34" s="40" t="inlineStr">
        <is>
          <t>Thomas Shared</t>
        </is>
      </c>
      <c r="B34" s="7" t="n">
        <v>0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54">
        <f>SUM(B34:M34)</f>
        <v/>
      </c>
    </row>
    <row r="35">
      <c r="A35" s="40" t="inlineStr">
        <is>
          <t>Tony Shared</t>
        </is>
      </c>
      <c r="B35" s="7">
        <f>31502/2</f>
        <v/>
      </c>
      <c r="C35" s="7">
        <f>5050/2</f>
        <v/>
      </c>
      <c r="D35" s="7">
        <f>(11460+2465)/2</f>
        <v/>
      </c>
      <c r="E35" s="7">
        <f>(3000+19842)/2</f>
        <v/>
      </c>
      <c r="F35" s="7">
        <f>26810/2</f>
        <v/>
      </c>
      <c r="G35" s="7">
        <f>(142180+124875)/2</f>
        <v/>
      </c>
      <c r="H35" s="7">
        <f>205630/2</f>
        <v/>
      </c>
      <c r="I35" s="7" t="n"/>
      <c r="J35" s="7" t="n"/>
      <c r="K35" s="7" t="n"/>
      <c r="L35" s="7" t="n"/>
      <c r="M35" s="7" t="n"/>
      <c r="N35" s="54">
        <f>SUM(B35:M35)</f>
        <v/>
      </c>
    </row>
    <row r="36">
      <c r="A36" s="40" t="inlineStr">
        <is>
          <t>Adam Shared</t>
        </is>
      </c>
      <c r="B36" s="7">
        <f>125819.6/2</f>
        <v/>
      </c>
      <c r="C36" s="7">
        <f>(272262+15000)/2</f>
        <v/>
      </c>
      <c r="D36" s="7">
        <f>(+191374.5+11460)/2</f>
        <v/>
      </c>
      <c r="E36" s="7">
        <f>(180689.5+3000)/2</f>
        <v/>
      </c>
      <c r="F36" s="7">
        <f>279194/2</f>
        <v/>
      </c>
      <c r="G36" s="7">
        <f>(320760+124875)/2</f>
        <v/>
      </c>
      <c r="H36" s="7">
        <f>368210+205630/2</f>
        <v/>
      </c>
      <c r="I36" s="7" t="n"/>
      <c r="J36" s="7" t="n"/>
      <c r="K36" s="7" t="n"/>
      <c r="L36" s="7" t="n"/>
      <c r="M36" s="7" t="n"/>
      <c r="N36" s="54">
        <f>SUM(B36:M36)</f>
        <v/>
      </c>
    </row>
    <row r="37">
      <c r="A37" s="40" t="inlineStr">
        <is>
          <t>Andy Shared</t>
        </is>
      </c>
      <c r="B37" s="7">
        <f>(125819.6+31502)/2</f>
        <v/>
      </c>
      <c r="C37" s="7">
        <f>(272262+15000)/2</f>
        <v/>
      </c>
      <c r="D37" s="7">
        <f>+191374.5/2</f>
        <v/>
      </c>
      <c r="E37" s="7">
        <f>180689.5/2</f>
        <v/>
      </c>
      <c r="F37" s="7">
        <f>279194/2</f>
        <v/>
      </c>
      <c r="G37" s="7">
        <f>320760/2</f>
        <v/>
      </c>
      <c r="H37" s="7">
        <f>368210/2</f>
        <v/>
      </c>
      <c r="I37" s="7" t="n"/>
      <c r="J37" s="7" t="n"/>
      <c r="K37" s="7" t="n"/>
      <c r="L37" s="7" t="n"/>
      <c r="M37" s="7" t="n"/>
      <c r="N37" s="54">
        <f>SUM(B37:M37)</f>
        <v/>
      </c>
    </row>
    <row r="38">
      <c r="A38" s="40" t="inlineStr">
        <is>
          <t>Rachel Shared</t>
        </is>
      </c>
      <c r="B38" s="7" t="n"/>
      <c r="C38" s="7">
        <f>(15000+5050)/2</f>
        <v/>
      </c>
      <c r="D38" s="7">
        <f>2465/2</f>
        <v/>
      </c>
      <c r="E38" s="7">
        <f>19842/2</f>
        <v/>
      </c>
      <c r="F38" s="7">
        <f>26810/2</f>
        <v/>
      </c>
      <c r="G38" s="7">
        <f>142180/2</f>
        <v/>
      </c>
      <c r="H38" s="7" t="n"/>
      <c r="I38" s="7" t="n"/>
      <c r="J38" s="7" t="n"/>
      <c r="K38" s="7" t="n"/>
      <c r="L38" s="7" t="n"/>
      <c r="M38" s="7" t="n"/>
      <c r="N38" s="54">
        <f>SUM(B38:M38)</f>
        <v/>
      </c>
    </row>
    <row r="39">
      <c r="N39" s="54">
        <f>SUM(N34:N38)</f>
        <v/>
      </c>
    </row>
    <row r="40">
      <c r="N40" s="7" t="n"/>
    </row>
    <row r="41">
      <c r="N41" s="7" t="n"/>
    </row>
    <row r="43">
      <c r="N43" s="7" t="n"/>
    </row>
    <row r="44">
      <c r="N44" s="7" t="n"/>
    </row>
    <row r="45">
      <c r="N45" s="7" t="n"/>
    </row>
    <row r="46">
      <c r="N46" s="7" t="n"/>
    </row>
    <row r="47">
      <c r="N47" s="7" t="n"/>
    </row>
    <row r="48">
      <c r="N48" s="7" t="n"/>
    </row>
    <row r="49">
      <c r="N49" s="7" t="n"/>
    </row>
    <row r="50">
      <c r="N50" s="7" t="n"/>
    </row>
    <row r="51">
      <c r="N51" s="7" t="n"/>
    </row>
    <row r="52">
      <c r="N52" s="7" t="n"/>
    </row>
    <row r="53">
      <c r="N53" s="7" t="n"/>
    </row>
    <row r="54">
      <c r="N54" s="7" t="n"/>
    </row>
    <row r="55">
      <c r="N55" s="7" t="n"/>
    </row>
    <row r="56">
      <c r="N56" s="7" t="n"/>
    </row>
    <row r="57">
      <c r="N57" s="7" t="n"/>
    </row>
    <row r="58">
      <c r="N58" s="7" t="n"/>
    </row>
    <row r="59">
      <c r="N59" s="7" t="n"/>
    </row>
    <row r="60">
      <c r="N60" s="7" t="n"/>
    </row>
    <row r="61">
      <c r="N61" s="7" t="n"/>
    </row>
    <row r="62">
      <c r="N62" s="7" t="n"/>
    </row>
    <row r="63">
      <c r="N63" s="7" t="n"/>
    </row>
    <row r="64">
      <c r="N64" s="7" t="n"/>
    </row>
    <row r="65">
      <c r="N65" s="7" t="n"/>
    </row>
    <row r="66">
      <c r="N66" s="7" t="n"/>
    </row>
    <row r="67">
      <c r="N67" s="7" t="n"/>
    </row>
    <row r="68">
      <c r="N68" s="7" t="n"/>
    </row>
    <row r="69">
      <c r="N69" s="7" t="n"/>
    </row>
    <row r="70">
      <c r="N70" s="7" t="n"/>
    </row>
    <row r="71">
      <c r="N71" s="7" t="n"/>
    </row>
    <row r="72">
      <c r="N72" s="7" t="n"/>
    </row>
    <row r="73">
      <c r="N73" s="7" t="n"/>
    </row>
    <row r="74">
      <c r="N74" s="7" t="n"/>
    </row>
    <row r="75">
      <c r="N75" s="7" t="n"/>
    </row>
    <row r="76">
      <c r="N76" s="7" t="n"/>
    </row>
    <row r="77">
      <c r="N77" s="7" t="n"/>
    </row>
    <row r="78">
      <c r="N78" s="7" t="n"/>
    </row>
    <row r="79">
      <c r="N79" s="7" t="n"/>
    </row>
    <row r="80">
      <c r="N80" s="7" t="n"/>
    </row>
    <row r="81">
      <c r="N81" s="7" t="n"/>
    </row>
    <row r="82">
      <c r="N82" s="7" t="n"/>
    </row>
    <row r="83">
      <c r="N83" s="7" t="n"/>
    </row>
    <row r="84">
      <c r="N84" s="7" t="n"/>
    </row>
    <row r="85">
      <c r="N85" s="7" t="n"/>
    </row>
    <row r="86">
      <c r="N86" s="7" t="n"/>
    </row>
    <row r="87">
      <c r="N87" s="7" t="n"/>
    </row>
    <row r="88">
      <c r="N88" s="7" t="n"/>
    </row>
    <row r="89">
      <c r="N89" s="7" t="n"/>
    </row>
    <row r="90">
      <c r="N90" s="7" t="n"/>
    </row>
    <row r="91">
      <c r="N91" s="7" t="n"/>
    </row>
    <row r="92">
      <c r="N92" s="7" t="n"/>
    </row>
    <row r="93">
      <c r="N93" s="7" t="n"/>
    </row>
    <row r="94">
      <c r="N94" s="7" t="n"/>
    </row>
    <row r="95">
      <c r="N95" s="7" t="n"/>
    </row>
    <row r="96">
      <c r="N96" s="7" t="n"/>
    </row>
    <row r="97">
      <c r="N97" s="7" t="n"/>
    </row>
    <row r="98">
      <c r="N98" s="7" t="n"/>
    </row>
    <row r="99">
      <c r="N99" s="7" t="n"/>
    </row>
    <row r="100">
      <c r="N100" s="7" t="n"/>
    </row>
    <row r="101">
      <c r="N101" s="7" t="n"/>
    </row>
    <row r="102">
      <c r="N102" s="7" t="n"/>
    </row>
    <row r="103">
      <c r="N103" s="7" t="n"/>
    </row>
    <row r="104">
      <c r="N104" s="7" t="n"/>
    </row>
    <row r="105">
      <c r="N105" s="7" t="n"/>
    </row>
    <row r="106">
      <c r="N106" s="7" t="n"/>
    </row>
    <row r="107">
      <c r="N107" s="7" t="n"/>
    </row>
    <row r="108">
      <c r="N108" s="7" t="n"/>
    </row>
    <row r="109">
      <c r="N109" s="7" t="n"/>
    </row>
    <row r="110">
      <c r="N110" s="7" t="n"/>
    </row>
    <row r="111">
      <c r="N111" s="7" t="n"/>
    </row>
    <row r="112">
      <c r="N112" s="7" t="n"/>
    </row>
    <row r="113">
      <c r="N113" s="7" t="n"/>
    </row>
    <row r="114">
      <c r="N114" s="7" t="n"/>
    </row>
    <row r="115">
      <c r="N115" s="7" t="n"/>
    </row>
    <row r="116">
      <c r="N116" s="7" t="n"/>
    </row>
    <row r="117">
      <c r="N117" s="7" t="n"/>
    </row>
    <row r="118">
      <c r="N118" s="7" t="n"/>
    </row>
    <row r="119">
      <c r="N119" s="7" t="n"/>
    </row>
    <row r="120">
      <c r="N120" s="7" t="n"/>
    </row>
    <row r="121">
      <c r="N121" s="7" t="n"/>
    </row>
    <row r="122">
      <c r="N122" s="7" t="n"/>
    </row>
    <row r="123">
      <c r="N123" s="7" t="n"/>
    </row>
    <row r="124">
      <c r="N124" s="7" t="n"/>
    </row>
    <row r="125">
      <c r="N125" s="7" t="n"/>
    </row>
    <row r="126">
      <c r="N126" s="7" t="n"/>
    </row>
    <row r="127">
      <c r="N127" s="7" t="n"/>
    </row>
    <row r="128">
      <c r="N128" s="7" t="n"/>
    </row>
    <row r="129">
      <c r="N129" s="7" t="n"/>
    </row>
    <row r="130">
      <c r="N130" s="7" t="n"/>
    </row>
    <row r="131">
      <c r="N131" s="7" t="n"/>
    </row>
    <row r="132">
      <c r="N132" s="7" t="n"/>
    </row>
    <row r="133">
      <c r="N133" s="7" t="n"/>
    </row>
    <row r="134">
      <c r="N134" s="7" t="n"/>
    </row>
    <row r="135">
      <c r="N135" s="7" t="n"/>
    </row>
    <row r="136">
      <c r="N136" s="7" t="n"/>
    </row>
    <row r="137">
      <c r="N137" s="7" t="n"/>
    </row>
    <row r="138">
      <c r="N138" s="7" t="n"/>
    </row>
    <row r="139">
      <c r="N139" s="7" t="n"/>
    </row>
    <row r="140">
      <c r="N140" s="7" t="n"/>
    </row>
    <row r="141">
      <c r="N141" s="7" t="n"/>
    </row>
    <row r="142">
      <c r="N142" s="7" t="n"/>
    </row>
    <row r="143">
      <c r="N143" s="7" t="n"/>
    </row>
    <row r="144">
      <c r="N144" s="7" t="n"/>
    </row>
    <row r="145">
      <c r="N145" s="7" t="n"/>
    </row>
    <row r="146">
      <c r="N146" s="7" t="n"/>
    </row>
    <row r="147">
      <c r="N147" s="7" t="n"/>
    </row>
    <row r="148">
      <c r="N148" s="7" t="n"/>
    </row>
    <row r="149">
      <c r="N149" s="7" t="n"/>
    </row>
    <row r="150">
      <c r="N150" s="7" t="n"/>
    </row>
    <row r="151">
      <c r="N151" s="7" t="n"/>
    </row>
    <row r="152">
      <c r="N152" s="7" t="n"/>
    </row>
    <row r="153">
      <c r="N153" s="7" t="n"/>
    </row>
    <row r="154">
      <c r="N154" s="7" t="n"/>
    </row>
    <row r="155">
      <c r="N155" s="7" t="n"/>
    </row>
    <row r="156">
      <c r="N156" s="7" t="n"/>
    </row>
    <row r="157">
      <c r="N157" s="7" t="n"/>
    </row>
    <row r="158">
      <c r="N158" s="7" t="n"/>
    </row>
    <row r="159">
      <c r="N159" s="7" t="n"/>
    </row>
    <row r="160">
      <c r="N160" s="7" t="n"/>
    </row>
    <row r="161">
      <c r="N161" s="7" t="n"/>
    </row>
    <row r="162">
      <c r="N162" s="7" t="n"/>
    </row>
    <row r="163">
      <c r="N163" s="7" t="n"/>
    </row>
    <row r="164">
      <c r="N164" s="7" t="n"/>
    </row>
    <row r="165">
      <c r="N165" s="7" t="n"/>
    </row>
    <row r="166">
      <c r="N166" s="7" t="n"/>
    </row>
    <row r="167">
      <c r="N167" s="7" t="n"/>
    </row>
    <row r="168">
      <c r="N168" s="7" t="n"/>
    </row>
    <row r="169">
      <c r="N169" s="7" t="n"/>
    </row>
    <row r="170">
      <c r="N170" s="7" t="n"/>
    </row>
    <row r="171">
      <c r="N171" s="7" t="n"/>
    </row>
    <row r="172">
      <c r="N172" s="7" t="n"/>
    </row>
    <row r="173">
      <c r="N173" s="7" t="n"/>
    </row>
    <row r="174">
      <c r="N174" s="7" t="n"/>
    </row>
    <row r="175">
      <c r="N175" s="7" t="n"/>
    </row>
    <row r="176">
      <c r="N176" s="7" t="n"/>
    </row>
    <row r="177">
      <c r="N177" s="7" t="n"/>
    </row>
    <row r="178">
      <c r="N178" s="7" t="n"/>
    </row>
    <row r="179">
      <c r="N179" s="7" t="n"/>
    </row>
    <row r="180">
      <c r="N180" s="7" t="n"/>
    </row>
    <row r="181">
      <c r="N181" s="7" t="n"/>
    </row>
    <row r="182">
      <c r="N182" s="7" t="n"/>
    </row>
    <row r="183">
      <c r="N183" s="7" t="n"/>
    </row>
    <row r="184">
      <c r="N184" s="7" t="n"/>
    </row>
    <row r="185">
      <c r="N185" s="7" t="n"/>
    </row>
    <row r="186">
      <c r="N186" s="7" t="n"/>
    </row>
    <row r="187">
      <c r="N187" s="7" t="n"/>
    </row>
    <row r="188">
      <c r="N188" s="7" t="n"/>
    </row>
    <row r="189">
      <c r="N189" s="7" t="n"/>
    </row>
    <row r="190">
      <c r="N190" s="7" t="n"/>
    </row>
    <row r="191">
      <c r="N191" s="7" t="n"/>
    </row>
    <row r="192">
      <c r="N192" s="7" t="n"/>
    </row>
    <row r="193">
      <c r="N193" s="7" t="n"/>
    </row>
    <row r="194">
      <c r="N194" s="7" t="n"/>
    </row>
    <row r="195">
      <c r="N195" s="7" t="n"/>
    </row>
    <row r="196">
      <c r="N196" s="7" t="n"/>
    </row>
    <row r="197">
      <c r="N197" s="7" t="n"/>
    </row>
    <row r="198">
      <c r="N198" s="7" t="n"/>
    </row>
    <row r="199">
      <c r="N199" s="7" t="n"/>
    </row>
    <row r="200">
      <c r="N200" s="7" t="n"/>
    </row>
    <row r="201">
      <c r="N201" s="7" t="n"/>
    </row>
    <row r="202">
      <c r="N202" s="7" t="n"/>
    </row>
    <row r="203">
      <c r="N203" s="7" t="n"/>
    </row>
    <row r="204">
      <c r="N204" s="7" t="n"/>
    </row>
    <row r="205">
      <c r="N205" s="7" t="n"/>
    </row>
    <row r="206">
      <c r="N206" s="7" t="n"/>
    </row>
    <row r="207">
      <c r="N207" s="7" t="n"/>
    </row>
    <row r="208">
      <c r="N208" s="7" t="n"/>
    </row>
    <row r="209">
      <c r="N209" s="7" t="n"/>
    </row>
    <row r="210">
      <c r="N210" s="7" t="n"/>
    </row>
    <row r="211">
      <c r="N211" s="7" t="n"/>
    </row>
    <row r="212">
      <c r="N212" s="7" t="n"/>
    </row>
    <row r="213">
      <c r="N213" s="7" t="n"/>
    </row>
    <row r="214">
      <c r="N214" s="7" t="n"/>
    </row>
    <row r="215">
      <c r="N215" s="7" t="n"/>
    </row>
    <row r="216">
      <c r="N216" s="7" t="n"/>
    </row>
    <row r="217">
      <c r="N217" s="7" t="n"/>
    </row>
    <row r="218">
      <c r="N218" s="7" t="n"/>
    </row>
    <row r="219">
      <c r="N219" s="7" t="n"/>
    </row>
    <row r="220">
      <c r="N220" s="7" t="n"/>
    </row>
    <row r="221">
      <c r="N221" s="7" t="n"/>
    </row>
    <row r="222">
      <c r="N222" s="7" t="n"/>
    </row>
    <row r="223">
      <c r="N223" s="7" t="n"/>
    </row>
    <row r="224">
      <c r="N224" s="7" t="n"/>
    </row>
    <row r="225">
      <c r="N225" s="7" t="n"/>
    </row>
    <row r="226">
      <c r="N226" s="7" t="n"/>
    </row>
    <row r="227">
      <c r="N227" s="7" t="n"/>
    </row>
    <row r="228">
      <c r="N228" s="7" t="n"/>
    </row>
    <row r="229">
      <c r="N229" s="7" t="n"/>
    </row>
    <row r="230">
      <c r="N230" s="7" t="n"/>
    </row>
    <row r="231">
      <c r="N231" s="7" t="n"/>
    </row>
    <row r="232">
      <c r="N232" s="7" t="n"/>
    </row>
    <row r="233">
      <c r="N233" s="7" t="n"/>
    </row>
    <row r="234">
      <c r="N234" s="7" t="n"/>
    </row>
    <row r="235">
      <c r="N235" s="7" t="n"/>
    </row>
    <row r="236">
      <c r="N236" s="7" t="n"/>
    </row>
    <row r="237">
      <c r="N237" s="7" t="n"/>
    </row>
    <row r="238">
      <c r="N238" s="7" t="n"/>
    </row>
    <row r="239">
      <c r="N239" s="7" t="n"/>
    </row>
    <row r="240">
      <c r="N240" s="7" t="n"/>
    </row>
    <row r="241">
      <c r="N241" s="7" t="n"/>
    </row>
    <row r="242">
      <c r="N242" s="7" t="n"/>
    </row>
    <row r="243">
      <c r="N243" s="7" t="n"/>
    </row>
    <row r="244">
      <c r="N244" s="7" t="n"/>
    </row>
    <row r="245">
      <c r="N245" s="7" t="n"/>
    </row>
    <row r="246">
      <c r="N246" s="7" t="n"/>
    </row>
    <row r="247">
      <c r="N247" s="7" t="n"/>
    </row>
    <row r="248">
      <c r="N248" s="7" t="n"/>
    </row>
    <row r="249">
      <c r="N249" s="7" t="n"/>
    </row>
    <row r="250">
      <c r="N250" s="7" t="n"/>
    </row>
    <row r="251">
      <c r="N251" s="7" t="n"/>
    </row>
    <row r="252">
      <c r="N252" s="7" t="n"/>
    </row>
    <row r="253">
      <c r="N253" s="7" t="n"/>
    </row>
    <row r="254">
      <c r="N254" s="7" t="n"/>
    </row>
    <row r="255">
      <c r="N255" s="7" t="n"/>
    </row>
    <row r="256">
      <c r="N256" s="7" t="n"/>
    </row>
    <row r="257">
      <c r="N257" s="7" t="n"/>
    </row>
    <row r="258">
      <c r="N258" s="7" t="n"/>
    </row>
    <row r="259">
      <c r="N259" s="7" t="n"/>
    </row>
    <row r="260">
      <c r="N260" s="7" t="n"/>
    </row>
    <row r="261">
      <c r="N261" s="7" t="n"/>
    </row>
    <row r="262">
      <c r="N262" s="7" t="n"/>
    </row>
    <row r="263">
      <c r="N263" s="7" t="n"/>
    </row>
    <row r="264">
      <c r="N264" s="7" t="n"/>
    </row>
    <row r="265">
      <c r="N265" s="7" t="n"/>
    </row>
    <row r="266">
      <c r="N266" s="7" t="n"/>
    </row>
    <row r="267">
      <c r="N267" s="7" t="n"/>
    </row>
    <row r="268">
      <c r="N268" s="7" t="n"/>
    </row>
    <row r="269">
      <c r="N269" s="7" t="n"/>
    </row>
    <row r="270">
      <c r="N270" s="7" t="n"/>
    </row>
    <row r="271">
      <c r="N271" s="7" t="n"/>
    </row>
    <row r="272">
      <c r="N272" s="7" t="n"/>
    </row>
    <row r="273">
      <c r="N273" s="7" t="n"/>
    </row>
    <row r="274">
      <c r="N274" s="7" t="n"/>
    </row>
    <row r="275">
      <c r="N275" s="7" t="n"/>
    </row>
    <row r="276">
      <c r="N276" s="7" t="n"/>
    </row>
    <row r="277">
      <c r="N277" s="7" t="n"/>
    </row>
    <row r="278">
      <c r="N278" s="7" t="n"/>
    </row>
    <row r="279">
      <c r="N279" s="7" t="n"/>
    </row>
    <row r="280">
      <c r="N280" s="7" t="n"/>
    </row>
    <row r="281">
      <c r="N281" s="7" t="n"/>
    </row>
    <row r="282">
      <c r="N282" s="7" t="n"/>
    </row>
    <row r="283">
      <c r="N283" s="7" t="n"/>
    </row>
    <row r="284">
      <c r="N284" s="7" t="n"/>
    </row>
    <row r="285">
      <c r="N285" s="7" t="n"/>
    </row>
    <row r="286">
      <c r="N286" s="7" t="n"/>
    </row>
    <row r="287">
      <c r="N287" s="7" t="n"/>
    </row>
    <row r="288">
      <c r="N288" s="7" t="n"/>
    </row>
    <row r="289">
      <c r="N289" s="7" t="n"/>
    </row>
    <row r="290">
      <c r="N290" s="7" t="n"/>
    </row>
    <row r="291">
      <c r="N291" s="7" t="n"/>
    </row>
    <row r="292">
      <c r="N292" s="7" t="n"/>
    </row>
    <row r="293">
      <c r="N293" s="7" t="n"/>
    </row>
    <row r="294">
      <c r="N294" s="7" t="n"/>
    </row>
    <row r="295">
      <c r="N295" s="7" t="n"/>
    </row>
    <row r="296">
      <c r="N296" s="7" t="n"/>
    </row>
    <row r="297">
      <c r="N297" s="7" t="n"/>
    </row>
    <row r="298">
      <c r="N298" s="7" t="n"/>
    </row>
    <row r="299">
      <c r="N299" s="7" t="n"/>
    </row>
    <row r="300">
      <c r="N300" s="7" t="n"/>
    </row>
    <row r="301">
      <c r="N301" s="7" t="n"/>
    </row>
    <row r="302">
      <c r="N302" s="7" t="n"/>
    </row>
    <row r="303">
      <c r="N303" s="7" t="n"/>
    </row>
    <row r="304">
      <c r="N304" s="7" t="n"/>
    </row>
    <row r="305">
      <c r="N305" s="7" t="n"/>
    </row>
    <row r="306">
      <c r="N306" s="7" t="n"/>
    </row>
    <row r="307">
      <c r="N307" s="7" t="n"/>
    </row>
    <row r="308">
      <c r="N308" s="7" t="n"/>
    </row>
    <row r="309">
      <c r="N309" s="7" t="n"/>
    </row>
    <row r="310">
      <c r="N310" s="7" t="n"/>
    </row>
    <row r="311">
      <c r="N311" s="7" t="n"/>
    </row>
    <row r="312">
      <c r="N312" s="7" t="n"/>
    </row>
    <row r="313">
      <c r="N313" s="7" t="n"/>
    </row>
    <row r="314">
      <c r="N314" s="7" t="n"/>
    </row>
    <row r="315">
      <c r="N315" s="7" t="n"/>
    </row>
    <row r="316">
      <c r="N316" s="7" t="n"/>
    </row>
    <row r="317">
      <c r="N317" s="7" t="n"/>
    </row>
    <row r="318">
      <c r="N318" s="7" t="n"/>
    </row>
    <row r="319">
      <c r="N319" s="7" t="n"/>
    </row>
    <row r="320">
      <c r="N320" s="7" t="n"/>
    </row>
    <row r="321">
      <c r="N321" s="7" t="n"/>
    </row>
    <row r="322">
      <c r="N322" s="7" t="n"/>
    </row>
    <row r="323">
      <c r="N323" s="7" t="n"/>
    </row>
    <row r="324">
      <c r="N324" s="7" t="n"/>
    </row>
    <row r="325">
      <c r="N325" s="7" t="n"/>
    </row>
    <row r="326">
      <c r="N326" s="7" t="n"/>
    </row>
    <row r="327">
      <c r="N327" s="7" t="n"/>
    </row>
    <row r="328">
      <c r="N328" s="7" t="n"/>
    </row>
    <row r="329">
      <c r="N329" s="7" t="n"/>
    </row>
    <row r="330">
      <c r="N330" s="7" t="n"/>
    </row>
    <row r="331">
      <c r="N331" s="7" t="n"/>
    </row>
    <row r="332">
      <c r="N332" s="7" t="n"/>
    </row>
    <row r="333">
      <c r="N333" s="7" t="n"/>
    </row>
    <row r="334">
      <c r="N334" s="7" t="n"/>
    </row>
    <row r="335">
      <c r="N335" s="7" t="n"/>
    </row>
    <row r="336">
      <c r="N336" s="7" t="n"/>
    </row>
    <row r="337">
      <c r="N337" s="7" t="n"/>
    </row>
    <row r="338">
      <c r="N338" s="7" t="n"/>
    </row>
    <row r="339">
      <c r="N339" s="7" t="n"/>
    </row>
    <row r="340">
      <c r="N340" s="7" t="n"/>
    </row>
    <row r="341">
      <c r="N341" s="7" t="n"/>
    </row>
    <row r="342">
      <c r="N342" s="7" t="n"/>
    </row>
    <row r="343">
      <c r="N343" s="7" t="n"/>
    </row>
    <row r="344">
      <c r="N344" s="7" t="n"/>
    </row>
    <row r="345">
      <c r="N345" s="7" t="n"/>
    </row>
    <row r="346">
      <c r="N346" s="7" t="n"/>
    </row>
    <row r="347">
      <c r="N347" s="7" t="n"/>
    </row>
    <row r="348">
      <c r="N348" s="7" t="n"/>
    </row>
    <row r="349">
      <c r="N349" s="7" t="n"/>
    </row>
    <row r="350">
      <c r="N350" s="7" t="n"/>
    </row>
    <row r="351">
      <c r="N351" s="7" t="n"/>
    </row>
    <row r="352">
      <c r="N352" s="7" t="n"/>
    </row>
    <row r="353">
      <c r="N353" s="7" t="n"/>
    </row>
    <row r="354">
      <c r="N354" s="7" t="n"/>
    </row>
    <row r="355">
      <c r="N355" s="7" t="n"/>
    </row>
    <row r="356">
      <c r="N356" s="7" t="n"/>
    </row>
    <row r="357">
      <c r="N357" s="7" t="n"/>
    </row>
    <row r="358">
      <c r="N358" s="7" t="n"/>
    </row>
    <row r="359">
      <c r="N359" s="7" t="n"/>
    </row>
    <row r="360">
      <c r="N360" s="7" t="n"/>
    </row>
    <row r="361">
      <c r="N361" s="7" t="n"/>
    </row>
    <row r="362">
      <c r="N362" s="7" t="n"/>
    </row>
    <row r="363">
      <c r="N363" s="7" t="n"/>
    </row>
    <row r="364">
      <c r="N364" s="7" t="n"/>
    </row>
    <row r="365">
      <c r="N365" s="7" t="n"/>
    </row>
    <row r="366">
      <c r="N366" s="7" t="n"/>
    </row>
    <row r="367">
      <c r="N367" s="7" t="n"/>
    </row>
    <row r="368">
      <c r="N368" s="7" t="n"/>
    </row>
    <row r="369">
      <c r="N369" s="7" t="n"/>
    </row>
    <row r="370">
      <c r="N370" s="7" t="n"/>
    </row>
    <row r="371">
      <c r="N371" s="7" t="n"/>
    </row>
    <row r="372">
      <c r="N372" s="7" t="n"/>
    </row>
    <row r="373">
      <c r="N373" s="7" t="n"/>
    </row>
    <row r="374">
      <c r="N374" s="7" t="n"/>
    </row>
    <row r="375">
      <c r="N375" s="7" t="n"/>
    </row>
    <row r="376">
      <c r="N376" s="7" t="n"/>
    </row>
    <row r="377">
      <c r="N377" s="7" t="n"/>
    </row>
    <row r="378">
      <c r="N378" s="7" t="n"/>
    </row>
    <row r="379">
      <c r="N379" s="7" t="n"/>
    </row>
    <row r="380">
      <c r="N380" s="7" t="n"/>
    </row>
    <row r="381">
      <c r="N381" s="7" t="n"/>
    </row>
    <row r="382">
      <c r="N382" s="7" t="n"/>
    </row>
    <row r="383">
      <c r="N383" s="7" t="n"/>
    </row>
    <row r="384">
      <c r="N384" s="7" t="n"/>
    </row>
    <row r="385">
      <c r="N385" s="7" t="n"/>
    </row>
    <row r="386">
      <c r="N386" s="7" t="n"/>
    </row>
    <row r="387">
      <c r="N387" s="7" t="n"/>
    </row>
    <row r="388">
      <c r="N388" s="7" t="n"/>
    </row>
    <row r="389">
      <c r="N389" s="7" t="n"/>
    </row>
    <row r="390">
      <c r="N390" s="7" t="n"/>
    </row>
    <row r="391">
      <c r="N391" s="7" t="n"/>
    </row>
    <row r="392">
      <c r="N392" s="7" t="n"/>
    </row>
    <row r="393">
      <c r="N393" s="7" t="n"/>
    </row>
    <row r="394">
      <c r="N394" s="7" t="n"/>
    </row>
    <row r="395">
      <c r="N395" s="7" t="n"/>
    </row>
    <row r="396">
      <c r="N396" s="7" t="n"/>
    </row>
    <row r="397">
      <c r="N397" s="7" t="n"/>
    </row>
    <row r="398">
      <c r="N398" s="7" t="n"/>
    </row>
    <row r="399">
      <c r="N399" s="7" t="n"/>
    </row>
    <row r="400">
      <c r="N400" s="7" t="n"/>
    </row>
    <row r="401">
      <c r="N401" s="7" t="n"/>
    </row>
    <row r="402">
      <c r="N402" s="7" t="n"/>
    </row>
    <row r="403">
      <c r="N403" s="7" t="n"/>
    </row>
    <row r="404">
      <c r="N404" s="7" t="n"/>
    </row>
    <row r="405">
      <c r="N405" s="7" t="n"/>
    </row>
    <row r="406">
      <c r="N406" s="7" t="n"/>
    </row>
    <row r="407">
      <c r="N407" s="7" t="n"/>
    </row>
    <row r="408">
      <c r="N408" s="7" t="n"/>
    </row>
    <row r="409">
      <c r="N409" s="7" t="n"/>
    </row>
    <row r="410">
      <c r="N410" s="7" t="n"/>
    </row>
    <row r="411">
      <c r="N411" s="7" t="n"/>
    </row>
    <row r="412">
      <c r="N412" s="7" t="n"/>
    </row>
    <row r="413">
      <c r="N413" s="7" t="n"/>
    </row>
    <row r="414">
      <c r="N414" s="7" t="n"/>
    </row>
    <row r="415">
      <c r="N415" s="7" t="n"/>
    </row>
    <row r="416">
      <c r="N416" s="7" t="n"/>
    </row>
    <row r="417">
      <c r="N417" s="7" t="n"/>
    </row>
    <row r="418">
      <c r="N418" s="7" t="n"/>
    </row>
    <row r="419">
      <c r="N419" s="7" t="n"/>
    </row>
    <row r="420">
      <c r="N420" s="7" t="n"/>
    </row>
    <row r="421">
      <c r="N421" s="7" t="n"/>
    </row>
    <row r="422">
      <c r="N422" s="7" t="n"/>
    </row>
    <row r="423">
      <c r="N423" s="7" t="n"/>
    </row>
    <row r="424">
      <c r="N424" s="7" t="n"/>
    </row>
    <row r="425">
      <c r="N425" s="7" t="n"/>
    </row>
    <row r="426">
      <c r="N426" s="7" t="n"/>
    </row>
    <row r="427">
      <c r="N427" s="7" t="n"/>
    </row>
    <row r="428">
      <c r="N428" s="7" t="n"/>
    </row>
    <row r="429">
      <c r="N429" s="7" t="n"/>
    </row>
    <row r="430">
      <c r="N430" s="7" t="n"/>
    </row>
    <row r="431">
      <c r="N431" s="7" t="n"/>
    </row>
    <row r="432">
      <c r="N432" s="7" t="n"/>
    </row>
    <row r="433">
      <c r="N433" s="7" t="n"/>
    </row>
    <row r="434">
      <c r="N434" s="7" t="n"/>
    </row>
    <row r="435">
      <c r="N435" s="7" t="n"/>
    </row>
    <row r="436">
      <c r="N436" s="7" t="n"/>
    </row>
    <row r="437">
      <c r="N437" s="7" t="n"/>
    </row>
    <row r="438">
      <c r="N438" s="7" t="n"/>
    </row>
    <row r="439">
      <c r="N439" s="7" t="n"/>
    </row>
    <row r="440">
      <c r="N440" s="7" t="n"/>
    </row>
    <row r="441">
      <c r="N441" s="7" t="n"/>
    </row>
    <row r="442">
      <c r="N442" s="7" t="n"/>
    </row>
    <row r="443">
      <c r="N443" s="7" t="n"/>
    </row>
    <row r="444">
      <c r="N444" s="7" t="n"/>
    </row>
    <row r="445">
      <c r="N445" s="7" t="n"/>
    </row>
    <row r="446">
      <c r="N446" s="7" t="n"/>
    </row>
    <row r="447">
      <c r="N447" s="7" t="n"/>
    </row>
    <row r="448">
      <c r="N448" s="7" t="n"/>
    </row>
    <row r="449">
      <c r="N449" s="7" t="n"/>
    </row>
    <row r="450">
      <c r="N450" s="7" t="n"/>
    </row>
    <row r="451">
      <c r="N451" s="7" t="n"/>
    </row>
    <row r="452">
      <c r="N452" s="7" t="n"/>
    </row>
    <row r="453">
      <c r="N453" s="7" t="n"/>
    </row>
    <row r="454">
      <c r="N454" s="7" t="n"/>
    </row>
    <row r="455">
      <c r="N455" s="7" t="n"/>
    </row>
    <row r="456">
      <c r="N456" s="7" t="n"/>
    </row>
    <row r="457">
      <c r="N457" s="7" t="n"/>
    </row>
    <row r="458">
      <c r="N458" s="7" t="n"/>
    </row>
    <row r="459">
      <c r="N459" s="7" t="n"/>
    </row>
    <row r="460">
      <c r="N460" s="7" t="n"/>
    </row>
    <row r="461">
      <c r="N461" s="7" t="n"/>
    </row>
    <row r="462">
      <c r="N462" s="7" t="n"/>
    </row>
    <row r="463">
      <c r="N463" s="7" t="n"/>
    </row>
    <row r="464">
      <c r="N464" s="7" t="n"/>
    </row>
    <row r="465">
      <c r="N465" s="7" t="n"/>
    </row>
    <row r="466">
      <c r="N466" s="7" t="n"/>
    </row>
    <row r="467">
      <c r="N467" s="7" t="n"/>
    </row>
    <row r="468">
      <c r="N468" s="7" t="n"/>
    </row>
    <row r="469">
      <c r="N469" s="7" t="n"/>
    </row>
    <row r="470">
      <c r="N470" s="7" t="n"/>
    </row>
    <row r="471">
      <c r="N471" s="7" t="n"/>
    </row>
    <row r="472">
      <c r="N472" s="7" t="n"/>
    </row>
    <row r="473">
      <c r="N473" s="7" t="n"/>
    </row>
    <row r="474">
      <c r="N474" s="7" t="n"/>
    </row>
    <row r="475">
      <c r="N475" s="7" t="n"/>
    </row>
    <row r="476">
      <c r="N476" s="7" t="n"/>
    </row>
    <row r="477">
      <c r="N477" s="7" t="n"/>
    </row>
    <row r="478">
      <c r="N478" s="7" t="n"/>
    </row>
    <row r="479">
      <c r="N479" s="7" t="n"/>
    </row>
    <row r="480">
      <c r="N480" s="7" t="n"/>
    </row>
    <row r="481">
      <c r="N481" s="7" t="n"/>
    </row>
    <row r="482">
      <c r="N482" s="7" t="n"/>
    </row>
    <row r="483">
      <c r="N483" s="7" t="n"/>
    </row>
    <row r="484">
      <c r="N484" s="7" t="n"/>
    </row>
    <row r="485">
      <c r="N485" s="7" t="n"/>
    </row>
    <row r="486">
      <c r="N486" s="7" t="n"/>
    </row>
    <row r="487">
      <c r="N487" s="7" t="n"/>
    </row>
    <row r="488">
      <c r="N488" s="7" t="n"/>
    </row>
    <row r="489">
      <c r="N489" s="7" t="n"/>
    </row>
    <row r="490">
      <c r="N490" s="7" t="n"/>
    </row>
    <row r="491">
      <c r="N491" s="7" t="n"/>
    </row>
    <row r="492">
      <c r="N492" s="7" t="n"/>
    </row>
    <row r="493">
      <c r="N493" s="7" t="n"/>
    </row>
    <row r="494">
      <c r="N494" s="7" t="n"/>
    </row>
    <row r="495">
      <c r="N495" s="7" t="n"/>
    </row>
    <row r="496">
      <c r="N496" s="7" t="n"/>
    </row>
    <row r="497">
      <c r="N497" s="7" t="n"/>
    </row>
    <row r="498">
      <c r="N498" s="7" t="n"/>
    </row>
    <row r="499">
      <c r="N499" s="7" t="n"/>
    </row>
    <row r="500">
      <c r="N500" s="7" t="n"/>
    </row>
    <row r="501">
      <c r="N501" s="7" t="n"/>
    </row>
    <row r="502">
      <c r="N502" s="7" t="n"/>
    </row>
    <row r="503">
      <c r="N503" s="7" t="n"/>
    </row>
    <row r="504">
      <c r="N504" s="7" t="n"/>
    </row>
    <row r="505">
      <c r="N505" s="7" t="n"/>
    </row>
    <row r="506">
      <c r="N506" s="7" t="n"/>
    </row>
    <row r="507">
      <c r="N507" s="7" t="n"/>
    </row>
    <row r="508">
      <c r="N508" s="7" t="n"/>
    </row>
    <row r="509">
      <c r="N509" s="7" t="n"/>
    </row>
    <row r="510">
      <c r="N510" s="7" t="n"/>
    </row>
    <row r="511">
      <c r="N511" s="7" t="n"/>
    </row>
    <row r="512">
      <c r="N512" s="7" t="n"/>
    </row>
    <row r="513">
      <c r="N513" s="7" t="n"/>
    </row>
    <row r="514">
      <c r="N514" s="7" t="n"/>
    </row>
    <row r="515">
      <c r="N515" s="7" t="n"/>
    </row>
    <row r="516">
      <c r="N516" s="7" t="n"/>
    </row>
    <row r="517">
      <c r="N517" s="7" t="n"/>
    </row>
    <row r="518">
      <c r="N518" s="7" t="n"/>
    </row>
    <row r="519">
      <c r="N519" s="7" t="n"/>
    </row>
    <row r="520">
      <c r="N520" s="7" t="n"/>
    </row>
    <row r="521">
      <c r="N521" s="7" t="n"/>
    </row>
    <row r="522">
      <c r="N522" s="7" t="n"/>
    </row>
    <row r="523">
      <c r="N523" s="7" t="n"/>
    </row>
    <row r="524">
      <c r="N524" s="7" t="n"/>
    </row>
    <row r="525">
      <c r="N525" s="7" t="n"/>
    </row>
    <row r="526">
      <c r="N526" s="7" t="n"/>
    </row>
    <row r="527">
      <c r="N527" s="7" t="n"/>
    </row>
    <row r="528">
      <c r="N528" s="7" t="n"/>
    </row>
    <row r="529">
      <c r="N529" s="7" t="n"/>
    </row>
    <row r="530">
      <c r="N530" s="7" t="n"/>
    </row>
    <row r="531">
      <c r="N531" s="7" t="n"/>
    </row>
    <row r="532">
      <c r="N532" s="7" t="n"/>
    </row>
    <row r="533">
      <c r="N533" s="7" t="n"/>
    </row>
    <row r="534">
      <c r="N534" s="7" t="n"/>
    </row>
    <row r="535">
      <c r="N535" s="7" t="n"/>
    </row>
    <row r="536">
      <c r="N536" s="7" t="n"/>
    </row>
    <row r="537">
      <c r="N537" s="7" t="n"/>
    </row>
    <row r="538">
      <c r="N538" s="7" t="n"/>
    </row>
    <row r="539">
      <c r="N539" s="7" t="n"/>
    </row>
    <row r="540">
      <c r="N540" s="7" t="n"/>
    </row>
    <row r="541">
      <c r="N541" s="7" t="n"/>
    </row>
    <row r="542">
      <c r="N542" s="7" t="n"/>
    </row>
    <row r="543">
      <c r="N543" s="7" t="n"/>
    </row>
    <row r="544">
      <c r="N544" s="7" t="n"/>
    </row>
    <row r="545">
      <c r="N545" s="7" t="n"/>
    </row>
    <row r="546">
      <c r="N546" s="7" t="n"/>
    </row>
    <row r="547">
      <c r="N547" s="7" t="n"/>
    </row>
    <row r="548">
      <c r="N548" s="7" t="n"/>
    </row>
    <row r="549">
      <c r="N549" s="7" t="n"/>
    </row>
    <row r="550">
      <c r="N550" s="7" t="n"/>
    </row>
    <row r="551">
      <c r="N551" s="7" t="n"/>
    </row>
    <row r="552">
      <c r="N552" s="7" t="n"/>
    </row>
    <row r="553">
      <c r="N553" s="7" t="n"/>
    </row>
    <row r="554">
      <c r="N554" s="7" t="n"/>
    </row>
    <row r="555">
      <c r="N555" s="7" t="n"/>
    </row>
    <row r="556">
      <c r="N556" s="7" t="n"/>
    </row>
    <row r="557">
      <c r="N557" s="7" t="n"/>
    </row>
    <row r="558">
      <c r="N558" s="7" t="n"/>
    </row>
    <row r="559">
      <c r="N559" s="7" t="n"/>
    </row>
    <row r="560">
      <c r="N560" s="7" t="n"/>
    </row>
    <row r="561">
      <c r="N561" s="7" t="n"/>
    </row>
    <row r="562">
      <c r="N562" s="7" t="n"/>
    </row>
    <row r="563">
      <c r="N563" s="7" t="n"/>
    </row>
    <row r="564">
      <c r="N564" s="7" t="n"/>
    </row>
    <row r="565">
      <c r="N565" s="7" t="n"/>
    </row>
    <row r="566">
      <c r="N566" s="7" t="n"/>
    </row>
    <row r="567">
      <c r="N567" s="7" t="n"/>
    </row>
    <row r="568">
      <c r="N568" s="7" t="n"/>
    </row>
    <row r="569">
      <c r="N569" s="7" t="n"/>
    </row>
    <row r="570">
      <c r="N570" s="7" t="n"/>
    </row>
    <row r="571">
      <c r="N571" s="7" t="n"/>
    </row>
    <row r="572">
      <c r="N572" s="7" t="n"/>
    </row>
    <row r="573">
      <c r="N573" s="7" t="n"/>
    </row>
    <row r="574">
      <c r="N574" s="7" t="n"/>
    </row>
    <row r="575">
      <c r="N575" s="7" t="n"/>
    </row>
    <row r="576">
      <c r="N576" s="7" t="n"/>
    </row>
    <row r="577">
      <c r="N577" s="7" t="n"/>
    </row>
    <row r="578">
      <c r="N578" s="7" t="n"/>
    </row>
    <row r="579">
      <c r="N579" s="7" t="n"/>
    </row>
    <row r="580">
      <c r="N580" s="7" t="n"/>
    </row>
    <row r="581">
      <c r="N581" s="7" t="n"/>
    </row>
    <row r="582">
      <c r="N582" s="7" t="n"/>
    </row>
    <row r="583">
      <c r="N583" s="7" t="n"/>
    </row>
    <row r="584">
      <c r="N584" s="7" t="n"/>
    </row>
    <row r="585">
      <c r="N585" s="7" t="n"/>
    </row>
    <row r="586">
      <c r="N586" s="7" t="n"/>
    </row>
    <row r="587">
      <c r="N587" s="7" t="n"/>
    </row>
    <row r="588">
      <c r="N588" s="7" t="n"/>
    </row>
    <row r="589">
      <c r="N589" s="7" t="n"/>
    </row>
    <row r="590">
      <c r="N590" s="7" t="n"/>
    </row>
    <row r="591">
      <c r="N591" s="7" t="n"/>
    </row>
    <row r="592">
      <c r="N592" s="7" t="n"/>
    </row>
    <row r="593">
      <c r="N593" s="7" t="n"/>
    </row>
    <row r="594">
      <c r="N594" s="7" t="n"/>
    </row>
    <row r="595">
      <c r="N595" s="7" t="n"/>
    </row>
    <row r="596">
      <c r="N596" s="7" t="n"/>
    </row>
    <row r="597">
      <c r="N597" s="7" t="n"/>
    </row>
    <row r="598">
      <c r="N598" s="7" t="n"/>
    </row>
    <row r="599">
      <c r="N599" s="7" t="n"/>
    </row>
    <row r="600">
      <c r="N600" s="7" t="n"/>
    </row>
    <row r="601">
      <c r="N601" s="7" t="n"/>
    </row>
    <row r="602">
      <c r="N602" s="7" t="n"/>
    </row>
    <row r="603">
      <c r="N603" s="7" t="n"/>
    </row>
    <row r="604">
      <c r="N604" s="7" t="n"/>
    </row>
    <row r="605">
      <c r="N605" s="7" t="n"/>
    </row>
    <row r="606">
      <c r="N606" s="7" t="n"/>
    </row>
    <row r="607">
      <c r="N607" s="7" t="n"/>
    </row>
    <row r="608">
      <c r="N608" s="7" t="n"/>
    </row>
    <row r="609">
      <c r="N609" s="7" t="n"/>
    </row>
    <row r="610">
      <c r="N610" s="7" t="n"/>
    </row>
    <row r="611">
      <c r="N611" s="7" t="n"/>
    </row>
    <row r="612">
      <c r="N612" s="7" t="n"/>
    </row>
    <row r="613">
      <c r="N613" s="7" t="n"/>
    </row>
    <row r="614">
      <c r="N614" s="7" t="n"/>
    </row>
    <row r="615">
      <c r="N615" s="7" t="n"/>
    </row>
    <row r="616">
      <c r="N616" s="7" t="n"/>
    </row>
    <row r="617">
      <c r="N617" s="7" t="n"/>
    </row>
    <row r="618">
      <c r="N618" s="7" t="n"/>
    </row>
    <row r="619">
      <c r="N619" s="7" t="n"/>
    </row>
    <row r="620">
      <c r="N620" s="7" t="n"/>
    </row>
    <row r="621">
      <c r="N621" s="7" t="n"/>
    </row>
    <row r="622">
      <c r="N622" s="7" t="n"/>
    </row>
    <row r="623">
      <c r="N623" s="7" t="n"/>
    </row>
    <row r="624">
      <c r="N624" s="7" t="n"/>
    </row>
    <row r="625">
      <c r="N625" s="7" t="n"/>
    </row>
    <row r="626">
      <c r="N626" s="7" t="n"/>
    </row>
    <row r="627">
      <c r="N627" s="7" t="n"/>
    </row>
    <row r="628">
      <c r="N628" s="7" t="n"/>
    </row>
    <row r="629">
      <c r="N629" s="7" t="n"/>
    </row>
    <row r="630">
      <c r="N630" s="7" t="n"/>
    </row>
    <row r="631">
      <c r="N631" s="7" t="n"/>
    </row>
    <row r="632">
      <c r="N632" s="7" t="n"/>
    </row>
    <row r="633">
      <c r="N633" s="7" t="n"/>
    </row>
    <row r="634">
      <c r="N634" s="7" t="n"/>
    </row>
    <row r="635">
      <c r="N635" s="7" t="n"/>
    </row>
    <row r="636">
      <c r="N636" s="7" t="n"/>
    </row>
    <row r="637">
      <c r="N637" s="7" t="n"/>
    </row>
    <row r="638">
      <c r="N638" s="7" t="n"/>
    </row>
    <row r="639">
      <c r="N639" s="7" t="n"/>
    </row>
    <row r="640">
      <c r="N640" s="7" t="n"/>
    </row>
    <row r="641">
      <c r="N641" s="7" t="n"/>
    </row>
    <row r="642">
      <c r="N642" s="7" t="n"/>
    </row>
    <row r="643">
      <c r="N643" s="7" t="n"/>
    </row>
    <row r="644">
      <c r="N644" s="7" t="n"/>
    </row>
    <row r="645">
      <c r="N645" s="7" t="n"/>
    </row>
    <row r="646">
      <c r="N646" s="7" t="n"/>
    </row>
    <row r="647">
      <c r="N647" s="7" t="n"/>
    </row>
    <row r="648">
      <c r="N648" s="7" t="n"/>
    </row>
    <row r="649">
      <c r="N649" s="7" t="n"/>
    </row>
    <row r="650">
      <c r="N650" s="7" t="n"/>
    </row>
    <row r="651">
      <c r="N651" s="7" t="n"/>
    </row>
    <row r="652">
      <c r="N652" s="7" t="n"/>
    </row>
    <row r="653">
      <c r="N653" s="7" t="n"/>
    </row>
    <row r="654">
      <c r="N654" s="7" t="n"/>
    </row>
    <row r="655">
      <c r="N655" s="7" t="n"/>
    </row>
    <row r="656">
      <c r="N656" s="7" t="n"/>
    </row>
    <row r="657">
      <c r="N657" s="7" t="n"/>
    </row>
    <row r="658">
      <c r="N658" s="7" t="n"/>
    </row>
    <row r="659">
      <c r="N659" s="7" t="n"/>
    </row>
    <row r="660">
      <c r="N660" s="7" t="n"/>
    </row>
    <row r="661">
      <c r="N661" s="7" t="n"/>
    </row>
    <row r="662">
      <c r="N662" s="7" t="n"/>
    </row>
    <row r="663">
      <c r="N663" s="7" t="n"/>
    </row>
    <row r="664">
      <c r="N664" s="7" t="n"/>
    </row>
    <row r="665">
      <c r="N665" s="7" t="n"/>
    </row>
    <row r="666">
      <c r="N666" s="7" t="n"/>
    </row>
    <row r="667">
      <c r="N667" s="7" t="n"/>
    </row>
    <row r="668">
      <c r="N668" s="7" t="n"/>
    </row>
    <row r="669">
      <c r="N669" s="7" t="n"/>
    </row>
    <row r="670">
      <c r="N670" s="7" t="n"/>
    </row>
    <row r="671">
      <c r="N671" s="7" t="n"/>
    </row>
    <row r="672">
      <c r="N672" s="7" t="n"/>
    </row>
    <row r="673">
      <c r="N673" s="7" t="n"/>
    </row>
    <row r="674">
      <c r="N674" s="7" t="n"/>
    </row>
    <row r="675">
      <c r="N675" s="7" t="n"/>
    </row>
    <row r="676">
      <c r="N676" s="7" t="n"/>
    </row>
    <row r="677">
      <c r="N677" s="7" t="n"/>
    </row>
    <row r="678">
      <c r="N678" s="7" t="n"/>
    </row>
    <row r="679">
      <c r="N679" s="7" t="n"/>
    </row>
    <row r="680">
      <c r="N680" s="7" t="n"/>
    </row>
    <row r="681">
      <c r="N681" s="7" t="n"/>
    </row>
    <row r="682">
      <c r="N682" s="7" t="n"/>
    </row>
    <row r="683">
      <c r="N683" s="7" t="n"/>
    </row>
    <row r="684">
      <c r="N684" s="7" t="n"/>
    </row>
    <row r="685">
      <c r="N685" s="7" t="n"/>
    </row>
    <row r="686">
      <c r="N686" s="7" t="n"/>
    </row>
    <row r="687">
      <c r="N687" s="7" t="n"/>
    </row>
    <row r="688">
      <c r="N688" s="7" t="n"/>
    </row>
    <row r="689">
      <c r="N689" s="7" t="n"/>
    </row>
    <row r="690">
      <c r="N690" s="7" t="n"/>
    </row>
    <row r="691">
      <c r="N691" s="7" t="n"/>
    </row>
    <row r="692">
      <c r="N692" s="7" t="n"/>
    </row>
    <row r="693">
      <c r="N693" s="7" t="n"/>
    </row>
    <row r="694">
      <c r="N694" s="7" t="n"/>
    </row>
    <row r="695">
      <c r="N695" s="7" t="n"/>
    </row>
    <row r="696">
      <c r="N696" s="7" t="n"/>
    </row>
    <row r="697">
      <c r="N697" s="7" t="n"/>
    </row>
    <row r="698">
      <c r="N698" s="7" t="n"/>
    </row>
    <row r="699">
      <c r="N699" s="7" t="n"/>
    </row>
    <row r="700">
      <c r="N700" s="7" t="n"/>
    </row>
    <row r="701">
      <c r="N701" s="7" t="n"/>
    </row>
    <row r="702">
      <c r="N702" s="7" t="n"/>
    </row>
    <row r="703">
      <c r="N703" s="7" t="n"/>
    </row>
    <row r="704">
      <c r="N704" s="7" t="n"/>
    </row>
    <row r="705">
      <c r="N705" s="7" t="n"/>
    </row>
    <row r="706">
      <c r="N706" s="7" t="n"/>
    </row>
    <row r="707">
      <c r="N707" s="7" t="n"/>
    </row>
    <row r="708">
      <c r="N708" s="7" t="n"/>
    </row>
    <row r="709">
      <c r="N709" s="7" t="n"/>
    </row>
    <row r="710">
      <c r="N710" s="7" t="n"/>
    </row>
    <row r="711">
      <c r="N711" s="7" t="n"/>
    </row>
    <row r="712">
      <c r="N712" s="7" t="n"/>
    </row>
    <row r="713">
      <c r="N713" s="7" t="n"/>
    </row>
    <row r="714">
      <c r="N714" s="7" t="n"/>
    </row>
    <row r="715">
      <c r="N715" s="7" t="n"/>
    </row>
    <row r="716">
      <c r="N716" s="7" t="n"/>
    </row>
    <row r="717">
      <c r="N717" s="7" t="n"/>
    </row>
    <row r="718">
      <c r="N718" s="7" t="n"/>
    </row>
    <row r="719">
      <c r="N719" s="7" t="n"/>
    </row>
    <row r="720">
      <c r="N720" s="7" t="n"/>
    </row>
    <row r="721">
      <c r="N721" s="7" t="n"/>
    </row>
    <row r="722">
      <c r="N722" s="7" t="n"/>
    </row>
    <row r="723">
      <c r="N723" s="7" t="n"/>
    </row>
    <row r="724">
      <c r="N724" s="7" t="n"/>
    </row>
    <row r="725">
      <c r="N725" s="7" t="n"/>
    </row>
    <row r="726">
      <c r="N726" s="7" t="n"/>
    </row>
    <row r="727">
      <c r="N727" s="7" t="n"/>
    </row>
    <row r="728">
      <c r="N728" s="7" t="n"/>
    </row>
    <row r="729">
      <c r="N729" s="7" t="n"/>
    </row>
    <row r="730">
      <c r="N730" s="7" t="n"/>
    </row>
    <row r="731">
      <c r="N731" s="7" t="n"/>
    </row>
    <row r="732">
      <c r="N732" s="7" t="n"/>
    </row>
    <row r="733">
      <c r="N733" s="7" t="n"/>
    </row>
    <row r="734">
      <c r="N734" s="7" t="n"/>
    </row>
    <row r="735">
      <c r="N735" s="7" t="n"/>
    </row>
    <row r="736">
      <c r="N736" s="7" t="n"/>
    </row>
    <row r="737">
      <c r="N737" s="7" t="n"/>
    </row>
    <row r="738">
      <c r="N738" s="7" t="n"/>
    </row>
    <row r="739">
      <c r="N739" s="7" t="n"/>
    </row>
    <row r="740">
      <c r="N740" s="7" t="n"/>
    </row>
    <row r="741">
      <c r="N741" s="7" t="n"/>
    </row>
    <row r="742">
      <c r="N742" s="7" t="n"/>
    </row>
    <row r="743">
      <c r="N743" s="7" t="n"/>
    </row>
    <row r="744">
      <c r="N744" s="7" t="n"/>
    </row>
    <row r="745">
      <c r="N745" s="7" t="n"/>
    </row>
    <row r="746">
      <c r="N746" s="7" t="n"/>
    </row>
    <row r="747">
      <c r="N747" s="7" t="n"/>
    </row>
    <row r="748">
      <c r="N748" s="7" t="n"/>
    </row>
    <row r="749">
      <c r="N749" s="7" t="n"/>
    </row>
    <row r="750">
      <c r="N750" s="7" t="n"/>
    </row>
    <row r="751">
      <c r="N751" s="7" t="n"/>
    </row>
    <row r="752">
      <c r="N752" s="7" t="n"/>
    </row>
    <row r="753">
      <c r="N753" s="7" t="n"/>
    </row>
    <row r="754">
      <c r="N754" s="7" t="n"/>
    </row>
    <row r="755">
      <c r="N755" s="7" t="n"/>
    </row>
    <row r="756">
      <c r="N756" s="7" t="n"/>
    </row>
    <row r="757">
      <c r="N757" s="7" t="n"/>
    </row>
    <row r="758">
      <c r="N758" s="7" t="n"/>
    </row>
    <row r="759">
      <c r="N759" s="7" t="n"/>
    </row>
    <row r="760">
      <c r="N760" s="7" t="n"/>
    </row>
    <row r="761">
      <c r="N761" s="7" t="n"/>
    </row>
    <row r="762">
      <c r="N762" s="7" t="n"/>
    </row>
    <row r="763">
      <c r="N763" s="7" t="n"/>
    </row>
    <row r="764">
      <c r="N764" s="7" t="n"/>
    </row>
    <row r="765">
      <c r="N765" s="7" t="n"/>
    </row>
    <row r="766">
      <c r="N766" s="7" t="n"/>
    </row>
    <row r="767">
      <c r="N767" s="7" t="n"/>
    </row>
    <row r="768">
      <c r="N768" s="7" t="n"/>
    </row>
    <row r="769">
      <c r="N769" s="7" t="n"/>
    </row>
    <row r="770">
      <c r="N770" s="7" t="n"/>
    </row>
    <row r="771">
      <c r="N771" s="7" t="n"/>
    </row>
    <row r="772">
      <c r="N772" s="7" t="n"/>
    </row>
    <row r="773">
      <c r="N773" s="7" t="n"/>
    </row>
    <row r="774">
      <c r="N774" s="7" t="n"/>
    </row>
    <row r="775">
      <c r="N775" s="7" t="n"/>
    </row>
    <row r="776">
      <c r="N776" s="7" t="n"/>
    </row>
    <row r="777">
      <c r="N777" s="7" t="n"/>
    </row>
    <row r="778">
      <c r="N778" s="7" t="n"/>
    </row>
    <row r="779">
      <c r="N779" s="7" t="n"/>
    </row>
    <row r="780">
      <c r="N780" s="7" t="n"/>
    </row>
    <row r="781">
      <c r="N781" s="7" t="n"/>
    </row>
    <row r="782">
      <c r="N782" s="7" t="n"/>
    </row>
    <row r="783">
      <c r="N783" s="7" t="n"/>
    </row>
    <row r="784">
      <c r="N784" s="7" t="n"/>
    </row>
    <row r="785">
      <c r="N785" s="7" t="n"/>
    </row>
    <row r="786">
      <c r="N786" s="7" t="n"/>
    </row>
    <row r="787">
      <c r="N787" s="7" t="n"/>
    </row>
    <row r="788">
      <c r="N788" s="7" t="n"/>
    </row>
    <row r="789">
      <c r="N789" s="7" t="n"/>
    </row>
    <row r="790">
      <c r="N790" s="7" t="n"/>
    </row>
    <row r="791">
      <c r="N791" s="7" t="n"/>
    </row>
    <row r="792">
      <c r="N792" s="7" t="n"/>
    </row>
    <row r="793">
      <c r="N793" s="7" t="n"/>
    </row>
    <row r="794">
      <c r="N794" s="7" t="n"/>
    </row>
    <row r="795">
      <c r="N795" s="7" t="n"/>
    </row>
    <row r="796">
      <c r="N796" s="7" t="n"/>
    </row>
    <row r="797">
      <c r="N797" s="7" t="n"/>
    </row>
    <row r="798">
      <c r="N798" s="7" t="n"/>
    </row>
    <row r="799">
      <c r="N799" s="7" t="n"/>
    </row>
    <row r="800">
      <c r="N800" s="7" t="n"/>
    </row>
    <row r="801">
      <c r="N801" s="7" t="n"/>
    </row>
    <row r="802">
      <c r="N802" s="7" t="n"/>
    </row>
    <row r="803">
      <c r="N803" s="7" t="n"/>
    </row>
    <row r="804">
      <c r="N804" s="7" t="n"/>
    </row>
    <row r="805">
      <c r="N805" s="7" t="n"/>
    </row>
    <row r="806">
      <c r="N806" s="7" t="n"/>
    </row>
    <row r="807">
      <c r="N807" s="7" t="n"/>
    </row>
    <row r="808">
      <c r="N808" s="7" t="n"/>
    </row>
    <row r="809">
      <c r="N809" s="7" t="n"/>
    </row>
    <row r="810">
      <c r="N810" s="7" t="n"/>
    </row>
    <row r="811">
      <c r="N811" s="7" t="n"/>
    </row>
    <row r="812">
      <c r="N812" s="7" t="n"/>
    </row>
    <row r="813">
      <c r="N813" s="7" t="n"/>
    </row>
    <row r="814">
      <c r="N814" s="7" t="n"/>
    </row>
    <row r="815">
      <c r="N815" s="7" t="n"/>
    </row>
    <row r="816">
      <c r="N816" s="7" t="n"/>
    </row>
    <row r="817">
      <c r="N817" s="7" t="n"/>
    </row>
    <row r="818">
      <c r="N818" s="7" t="n"/>
    </row>
    <row r="819">
      <c r="N819" s="7" t="n"/>
    </row>
    <row r="820">
      <c r="N820" s="7" t="n"/>
    </row>
    <row r="821">
      <c r="N821" s="7" t="n"/>
    </row>
    <row r="822">
      <c r="N822" s="7" t="n"/>
    </row>
    <row r="823">
      <c r="N823" s="7" t="n"/>
    </row>
    <row r="824">
      <c r="N824" s="7" t="n"/>
    </row>
    <row r="825">
      <c r="N825" s="7" t="n"/>
    </row>
    <row r="826">
      <c r="N826" s="7" t="n"/>
    </row>
    <row r="827">
      <c r="N827" s="7" t="n"/>
    </row>
    <row r="828">
      <c r="N828" s="7" t="n"/>
    </row>
    <row r="829">
      <c r="N829" s="7" t="n"/>
    </row>
    <row r="830">
      <c r="N830" s="7" t="n"/>
    </row>
    <row r="831">
      <c r="N831" s="7" t="n"/>
    </row>
    <row r="832">
      <c r="N832" s="7" t="n"/>
    </row>
    <row r="833">
      <c r="N833" s="7" t="n"/>
    </row>
    <row r="834">
      <c r="N834" s="7" t="n"/>
    </row>
    <row r="835">
      <c r="N835" s="7" t="n"/>
    </row>
    <row r="836">
      <c r="N836" s="7" t="n"/>
    </row>
    <row r="837">
      <c r="N837" s="7" t="n"/>
    </row>
    <row r="838">
      <c r="N838" s="7" t="n"/>
    </row>
    <row r="839">
      <c r="N839" s="7" t="n"/>
    </row>
    <row r="840">
      <c r="N840" s="7" t="n"/>
    </row>
    <row r="841">
      <c r="N841" s="7" t="n"/>
    </row>
    <row r="842">
      <c r="N842" s="7" t="n"/>
    </row>
    <row r="843">
      <c r="N843" s="7" t="n"/>
    </row>
    <row r="844">
      <c r="N844" s="7" t="n"/>
    </row>
    <row r="845">
      <c r="N845" s="7" t="n"/>
    </row>
    <row r="846">
      <c r="N846" s="7" t="n"/>
    </row>
    <row r="847">
      <c r="N847" s="7" t="n"/>
    </row>
    <row r="848">
      <c r="N848" s="7" t="n"/>
    </row>
    <row r="849">
      <c r="N849" s="7" t="n"/>
    </row>
    <row r="850">
      <c r="N850" s="7" t="n"/>
    </row>
    <row r="851">
      <c r="N851" s="7" t="n"/>
    </row>
    <row r="852">
      <c r="N852" s="7" t="n"/>
    </row>
    <row r="853">
      <c r="N853" s="7" t="n"/>
    </row>
    <row r="854">
      <c r="N854" s="7" t="n"/>
    </row>
    <row r="855">
      <c r="N855" s="7" t="n"/>
    </row>
    <row r="856">
      <c r="N856" s="7" t="n"/>
    </row>
    <row r="857">
      <c r="N857" s="7" t="n"/>
    </row>
    <row r="858">
      <c r="N858" s="7" t="n"/>
    </row>
    <row r="859">
      <c r="N859" s="7" t="n"/>
    </row>
    <row r="860">
      <c r="N860" s="7" t="n"/>
    </row>
    <row r="861">
      <c r="N861" s="7" t="n"/>
    </row>
    <row r="862">
      <c r="N862" s="7" t="n"/>
    </row>
    <row r="863">
      <c r="N863" s="7" t="n"/>
    </row>
    <row r="864">
      <c r="N864" s="7" t="n"/>
    </row>
    <row r="865">
      <c r="N865" s="7" t="n"/>
    </row>
    <row r="866">
      <c r="N866" s="7" t="n"/>
    </row>
    <row r="867">
      <c r="N867" s="7" t="n"/>
    </row>
    <row r="868">
      <c r="N868" s="7" t="n"/>
    </row>
    <row r="869">
      <c r="N869" s="7" t="n"/>
    </row>
    <row r="870">
      <c r="N870" s="7" t="n"/>
    </row>
    <row r="871">
      <c r="N871" s="7" t="n"/>
    </row>
    <row r="872">
      <c r="N872" s="7" t="n"/>
    </row>
    <row r="873">
      <c r="N873" s="7" t="n"/>
    </row>
    <row r="874">
      <c r="N874" s="7" t="n"/>
    </row>
    <row r="875">
      <c r="N875" s="7" t="n"/>
    </row>
    <row r="876">
      <c r="N876" s="7" t="n"/>
    </row>
    <row r="877">
      <c r="N877" s="7" t="n"/>
    </row>
    <row r="878">
      <c r="N878" s="7" t="n"/>
    </row>
    <row r="879">
      <c r="N879" s="7" t="n"/>
    </row>
    <row r="880">
      <c r="N880" s="7" t="n"/>
    </row>
    <row r="881">
      <c r="N881" s="7" t="n"/>
    </row>
    <row r="882">
      <c r="N882" s="7" t="n"/>
    </row>
    <row r="883">
      <c r="N883" s="7" t="n"/>
    </row>
    <row r="884">
      <c r="N884" s="7" t="n"/>
    </row>
    <row r="885">
      <c r="N885" s="7" t="n"/>
    </row>
    <row r="886">
      <c r="N886" s="7" t="n"/>
    </row>
    <row r="887">
      <c r="N887" s="7" t="n"/>
    </row>
    <row r="888">
      <c r="N888" s="7" t="n"/>
    </row>
    <row r="889">
      <c r="N889" s="7" t="n"/>
    </row>
    <row r="890">
      <c r="N890" s="7" t="n"/>
    </row>
    <row r="891">
      <c r="N891" s="7" t="n"/>
    </row>
    <row r="892">
      <c r="N892" s="7" t="n"/>
    </row>
    <row r="893">
      <c r="N893" s="7" t="n"/>
    </row>
    <row r="894">
      <c r="N894" s="7" t="n"/>
    </row>
    <row r="895">
      <c r="N895" s="7" t="n"/>
    </row>
    <row r="896">
      <c r="N896" s="7" t="n"/>
    </row>
    <row r="897">
      <c r="N897" s="7" t="n"/>
    </row>
    <row r="898">
      <c r="N898" s="7" t="n"/>
    </row>
    <row r="899">
      <c r="N899" s="7" t="n"/>
    </row>
    <row r="900">
      <c r="N900" s="7" t="n"/>
    </row>
    <row r="901">
      <c r="N901" s="7" t="n"/>
    </row>
    <row r="902">
      <c r="N902" s="7" t="n"/>
    </row>
    <row r="903">
      <c r="N903" s="7" t="n"/>
    </row>
    <row r="904">
      <c r="N904" s="7" t="n"/>
    </row>
    <row r="905">
      <c r="N905" s="7" t="n"/>
    </row>
    <row r="906">
      <c r="N906" s="7" t="n"/>
    </row>
    <row r="907">
      <c r="N907" s="7" t="n"/>
    </row>
    <row r="908">
      <c r="N908" s="7" t="n"/>
    </row>
    <row r="909">
      <c r="N909" s="7" t="n"/>
    </row>
    <row r="910">
      <c r="N910" s="7" t="n"/>
    </row>
    <row r="911">
      <c r="N911" s="7" t="n"/>
    </row>
    <row r="912">
      <c r="N912" s="7" t="n"/>
    </row>
    <row r="913">
      <c r="N913" s="7" t="n"/>
    </row>
    <row r="914">
      <c r="N914" s="7" t="n"/>
    </row>
    <row r="915">
      <c r="N915" s="7" t="n"/>
    </row>
    <row r="916">
      <c r="N916" s="7" t="n"/>
    </row>
    <row r="917">
      <c r="N917" s="7" t="n"/>
    </row>
    <row r="918">
      <c r="N918" s="7" t="n"/>
    </row>
    <row r="919">
      <c r="N919" s="7" t="n"/>
    </row>
    <row r="920">
      <c r="N920" s="7" t="n"/>
    </row>
    <row r="921">
      <c r="N921" s="7" t="n"/>
    </row>
    <row r="922">
      <c r="N922" s="7" t="n"/>
    </row>
    <row r="923">
      <c r="N923" s="7" t="n"/>
    </row>
    <row r="924">
      <c r="N924" s="7" t="n"/>
    </row>
    <row r="925">
      <c r="N925" s="7" t="n"/>
    </row>
    <row r="926">
      <c r="N926" s="7" t="n"/>
    </row>
    <row r="927">
      <c r="N927" s="7" t="n"/>
    </row>
    <row r="928">
      <c r="N928" s="7" t="n"/>
    </row>
    <row r="929">
      <c r="N929" s="7" t="n"/>
    </row>
    <row r="930">
      <c r="N930" s="7" t="n"/>
    </row>
    <row r="931">
      <c r="N931" s="7" t="n"/>
    </row>
    <row r="932">
      <c r="N932" s="7" t="n"/>
    </row>
    <row r="933">
      <c r="N933" s="7" t="n"/>
    </row>
    <row r="934">
      <c r="N934" s="7" t="n"/>
    </row>
    <row r="935">
      <c r="N935" s="7" t="n"/>
    </row>
    <row r="936">
      <c r="N936" s="7" t="n"/>
    </row>
    <row r="937">
      <c r="N937" s="7" t="n"/>
    </row>
    <row r="938">
      <c r="N938" s="7" t="n"/>
    </row>
    <row r="939">
      <c r="N939" s="7" t="n"/>
    </row>
    <row r="940">
      <c r="N940" s="7" t="n"/>
    </row>
    <row r="941">
      <c r="N941" s="7" t="n"/>
    </row>
    <row r="942">
      <c r="N942" s="7" t="n"/>
    </row>
    <row r="943">
      <c r="N943" s="7" t="n"/>
    </row>
    <row r="944">
      <c r="N944" s="7" t="n"/>
    </row>
    <row r="945">
      <c r="N945" s="7" t="n"/>
    </row>
    <row r="946">
      <c r="N946" s="7" t="n"/>
    </row>
    <row r="947">
      <c r="N947" s="7" t="n"/>
    </row>
    <row r="948">
      <c r="N948" s="7" t="n"/>
    </row>
    <row r="949">
      <c r="N949" s="7" t="n"/>
    </row>
    <row r="950">
      <c r="N950" s="7" t="n"/>
    </row>
    <row r="951">
      <c r="N951" s="7" t="n"/>
    </row>
    <row r="952">
      <c r="N952" s="7" t="n"/>
    </row>
    <row r="953">
      <c r="N953" s="7" t="n"/>
    </row>
    <row r="954">
      <c r="N954" s="7" t="n"/>
    </row>
    <row r="955">
      <c r="N955" s="7" t="n"/>
    </row>
    <row r="956">
      <c r="N956" s="7" t="n"/>
    </row>
    <row r="957">
      <c r="N957" s="7" t="n"/>
    </row>
    <row r="958">
      <c r="N958" s="7" t="n"/>
    </row>
    <row r="959">
      <c r="N959" s="7" t="n"/>
    </row>
    <row r="960">
      <c r="N960" s="7" t="n"/>
    </row>
    <row r="961">
      <c r="N961" s="7" t="n"/>
    </row>
    <row r="962">
      <c r="N962" s="7" t="n"/>
    </row>
    <row r="963">
      <c r="N963" s="7" t="n"/>
    </row>
    <row r="964">
      <c r="N964" s="7" t="n"/>
    </row>
    <row r="965">
      <c r="N965" s="7" t="n"/>
    </row>
    <row r="966">
      <c r="N966" s="7" t="n"/>
    </row>
    <row r="967">
      <c r="N967" s="7" t="n"/>
    </row>
    <row r="968">
      <c r="N968" s="7" t="n"/>
    </row>
    <row r="969">
      <c r="N969" s="7" t="n"/>
    </row>
    <row r="970">
      <c r="N970" s="7" t="n"/>
    </row>
    <row r="971">
      <c r="N971" s="7" t="n"/>
    </row>
    <row r="972">
      <c r="N972" s="7" t="n"/>
    </row>
    <row r="973">
      <c r="N973" s="7" t="n"/>
    </row>
    <row r="974">
      <c r="N974" s="7" t="n"/>
    </row>
    <row r="975">
      <c r="N975" s="7" t="n"/>
    </row>
    <row r="976">
      <c r="N976" s="7" t="n"/>
    </row>
    <row r="977">
      <c r="N977" s="7" t="n"/>
    </row>
    <row r="978">
      <c r="N978" s="7" t="n"/>
    </row>
    <row r="979">
      <c r="N979" s="7" t="n"/>
    </row>
    <row r="980">
      <c r="N980" s="7" t="n"/>
    </row>
    <row r="981">
      <c r="N981" s="7" t="n"/>
    </row>
    <row r="982">
      <c r="N982" s="7" t="n"/>
    </row>
    <row r="983">
      <c r="N983" s="7" t="n"/>
    </row>
    <row r="984">
      <c r="N984" s="7" t="n"/>
    </row>
    <row r="985">
      <c r="N985" s="7" t="n"/>
    </row>
    <row r="986">
      <c r="N986" s="7" t="n"/>
    </row>
    <row r="987">
      <c r="N987" s="7" t="n"/>
    </row>
    <row r="988">
      <c r="N988" s="7" t="n"/>
    </row>
    <row r="989">
      <c r="N989" s="7" t="n"/>
    </row>
    <row r="990">
      <c r="N990" s="7" t="n"/>
    </row>
    <row r="991">
      <c r="N991" s="7" t="n"/>
    </row>
    <row r="992">
      <c r="N992" s="7" t="n"/>
    </row>
    <row r="993">
      <c r="N993" s="7" t="n"/>
    </row>
    <row r="994">
      <c r="N994" s="7" t="n"/>
    </row>
    <row r="995">
      <c r="N995" s="7" t="n"/>
    </row>
    <row r="996">
      <c r="N996" s="7" t="n"/>
    </row>
    <row r="997">
      <c r="N997" s="7" t="n"/>
    </row>
    <row r="998">
      <c r="N998" s="7" t="n"/>
    </row>
    <row r="999">
      <c r="N999" s="7" t="n"/>
    </row>
    <row r="1000">
      <c r="N1000" s="7" t="n"/>
    </row>
    <row r="1001">
      <c r="N1001" s="7" t="n"/>
    </row>
    <row r="1002">
      <c r="N1002" s="7" t="n"/>
    </row>
    <row r="1003">
      <c r="N1003" s="7" t="n"/>
    </row>
    <row r="1004">
      <c r="N1004" s="7" t="n"/>
    </row>
    <row r="1005">
      <c r="N1005" s="7" t="n"/>
    </row>
    <row r="1006">
      <c r="N1006" s="7" t="n"/>
    </row>
    <row r="1007">
      <c r="N1007" s="7" t="n"/>
    </row>
  </sheetData>
  <mergeCells count="1">
    <mergeCell ref="A32:M32"/>
  </mergeCells>
  <conditionalFormatting sqref="N5 N11 N17 N23 N29 N32">
    <cfRule type="cellIs" priority="1" operator="greaterThan" dxfId="2">
      <formula>0</formula>
    </cfRule>
    <cfRule type="cellIs" priority="2" operator="lessThan" dxfId="3">
      <formula>0</formula>
    </cfRule>
  </conditionalFormatting>
  <conditionalFormatting sqref="B5:M6 B11:M12 B17:M18 B23:M24">
    <cfRule type="cellIs" priority="3" operator="greaterThan" dxfId="0">
      <formula>1</formula>
    </cfRule>
  </conditionalFormatting>
  <conditionalFormatting sqref="B5:M6 B11:M12 B17:M18 B23:M24 B29:M30">
    <cfRule type="cellIs" priority="4" operator="lessThanOrEqual" dxfId="4">
      <formula>0</formula>
    </cfRule>
  </conditionalFormatting>
  <conditionalFormatting sqref="C29:M30">
    <cfRule type="cellIs" priority="5" operator="greaterThan" dxfId="5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N2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40" t="inlineStr">
        <is>
          <t>Team</t>
        </is>
      </c>
      <c r="B1" s="40" t="inlineStr">
        <is>
          <t>Q1</t>
        </is>
      </c>
      <c r="C1" s="40" t="inlineStr">
        <is>
          <t>Q2</t>
        </is>
      </c>
      <c r="D1" s="40" t="inlineStr">
        <is>
          <t>Q3</t>
        </is>
      </c>
      <c r="E1" s="40" t="inlineStr">
        <is>
          <t>Q4</t>
        </is>
      </c>
    </row>
    <row r="2">
      <c r="A2" s="40" t="inlineStr">
        <is>
          <t>Goal</t>
        </is>
      </c>
      <c r="B2" s="7">
        <f>SUM('Monthly Team'!B11:D11)</f>
        <v/>
      </c>
      <c r="C2" s="7">
        <f>SUM('Monthly Team'!E11:G11)</f>
        <v/>
      </c>
      <c r="D2" s="7">
        <f>SUM('Monthly Team'!H11:J11)</f>
        <v/>
      </c>
      <c r="E2" s="7">
        <f>SUM('Monthly Team'!K11:M11)</f>
        <v/>
      </c>
    </row>
    <row r="3">
      <c r="A3" s="40" t="inlineStr">
        <is>
          <t>Actual</t>
        </is>
      </c>
      <c r="B3" s="7">
        <f>sum('Monthly Team'!B13:D13)</f>
        <v/>
      </c>
      <c r="C3" s="7">
        <f>sum('Monthly Team'!E13:G13)</f>
        <v/>
      </c>
      <c r="D3" s="7">
        <f>sum('Monthly Team'!H13:J13)</f>
        <v/>
      </c>
      <c r="E3" s="7">
        <f>sum('Monthly Team'!K13:M13)</f>
        <v/>
      </c>
    </row>
    <row r="4">
      <c r="A4" s="40" t="inlineStr">
        <is>
          <t>Hit/Miss</t>
        </is>
      </c>
      <c r="B4" s="7">
        <f>B3-B2</f>
        <v/>
      </c>
      <c r="C4" s="7">
        <f>C3-C2</f>
        <v/>
      </c>
      <c r="D4" s="7">
        <f>D3-D2</f>
        <v/>
      </c>
      <c r="E4" s="7">
        <f>E3-E2</f>
        <v/>
      </c>
      <c r="G4" s="16" t="n"/>
    </row>
    <row r="5">
      <c r="B5" s="13">
        <f>(B3-B2)/B2</f>
        <v/>
      </c>
      <c r="C5" s="13">
        <f>(C3-C2)/C2</f>
        <v/>
      </c>
      <c r="D5" s="13">
        <f>(D3-D2)/D2</f>
        <v/>
      </c>
      <c r="E5" s="13">
        <f>(E3-E2)/E2</f>
        <v/>
      </c>
      <c r="N5" s="40" t="n">
        <v>2950</v>
      </c>
    </row>
    <row r="6">
      <c r="A6" s="40" t="n"/>
      <c r="B6" s="40" t="n"/>
      <c r="C6" s="40" t="n"/>
      <c r="D6" s="40" t="n"/>
      <c r="F6" s="40" t="n"/>
      <c r="G6" s="40" t="n"/>
      <c r="H6" s="40" t="n"/>
      <c r="I6" s="40" t="n"/>
      <c r="N6" s="40" t="n">
        <v>1000</v>
      </c>
    </row>
    <row r="7">
      <c r="A7" s="40" t="inlineStr">
        <is>
          <t>By Sales</t>
        </is>
      </c>
      <c r="B7" s="40" t="inlineStr">
        <is>
          <t>Q1 Actual</t>
        </is>
      </c>
      <c r="C7" s="40" t="inlineStr">
        <is>
          <t>Q1 Goal</t>
        </is>
      </c>
      <c r="D7" s="40" t="inlineStr">
        <is>
          <t>Difference</t>
        </is>
      </c>
      <c r="F7" s="40" t="inlineStr">
        <is>
          <t>By Sales</t>
        </is>
      </c>
      <c r="G7" s="40" t="inlineStr">
        <is>
          <t>Q2 Actual</t>
        </is>
      </c>
      <c r="H7" s="40" t="inlineStr">
        <is>
          <t>Q2 Goal</t>
        </is>
      </c>
      <c r="I7" s="40" t="inlineStr">
        <is>
          <t>Difference</t>
        </is>
      </c>
      <c r="N7" s="40" t="n">
        <v>4855</v>
      </c>
    </row>
    <row r="8">
      <c r="A8" s="40" t="inlineStr">
        <is>
          <t>Thomas</t>
        </is>
      </c>
      <c r="B8" s="7">
        <f>sum('Monthly Sales'!B4:D4)</f>
        <v/>
      </c>
      <c r="C8" s="7">
        <f>sum('Monthly Sales'!B3:D3)</f>
        <v/>
      </c>
      <c r="D8" s="7">
        <f>B8-C8</f>
        <v/>
      </c>
      <c r="F8" s="7" t="inlineStr">
        <is>
          <t>Thomas</t>
        </is>
      </c>
      <c r="G8" s="7">
        <f>sum('Monthly Sales'!E4:G4)</f>
        <v/>
      </c>
      <c r="H8" s="7">
        <f>sum('Monthly Sales'!E3:G3)</f>
        <v/>
      </c>
      <c r="I8" s="7">
        <f>G8-H8</f>
        <v/>
      </c>
      <c r="N8" s="40" t="n">
        <v>2200</v>
      </c>
    </row>
    <row r="9">
      <c r="A9" s="40" t="inlineStr">
        <is>
          <t>Tony</t>
        </is>
      </c>
      <c r="B9" s="7">
        <f>sum('Monthly Sales'!B10:D10)</f>
        <v/>
      </c>
      <c r="C9" s="7">
        <f>sum('Monthly Sales'!B9:D9)</f>
        <v/>
      </c>
      <c r="D9" s="7">
        <f>B9-C9</f>
        <v/>
      </c>
      <c r="F9" s="7" t="inlineStr">
        <is>
          <t>Tony</t>
        </is>
      </c>
      <c r="G9" s="7">
        <f>sum('Monthly Sales'!E10:G10)</f>
        <v/>
      </c>
      <c r="H9" s="7">
        <f>SUM('Monthly Sales'!E9:G9)</f>
        <v/>
      </c>
      <c r="I9" s="7">
        <f>G9-H9</f>
        <v/>
      </c>
      <c r="N9" s="40" t="n">
        <v>550</v>
      </c>
    </row>
    <row r="10">
      <c r="A10" s="40" t="inlineStr">
        <is>
          <t>Adam</t>
        </is>
      </c>
      <c r="B10" s="7">
        <f>SUM('Monthly Sales'!B16:D16)</f>
        <v/>
      </c>
      <c r="C10" s="7">
        <f>sum('Monthly Sales'!B15:D15)</f>
        <v/>
      </c>
      <c r="D10" s="7">
        <f>B10-C10</f>
        <v/>
      </c>
      <c r="F10" s="7" t="inlineStr">
        <is>
          <t>Adam</t>
        </is>
      </c>
      <c r="G10" s="7">
        <f>sum('Monthly Sales'!E16:G16)</f>
        <v/>
      </c>
      <c r="H10" s="7">
        <f>SUM('Monthly Sales'!E15:G15)</f>
        <v/>
      </c>
      <c r="I10" s="7">
        <f>G10-H10</f>
        <v/>
      </c>
      <c r="N10" s="40" t="n">
        <v>700</v>
      </c>
    </row>
    <row r="11">
      <c r="A11" s="40" t="inlineStr">
        <is>
          <t>Andy</t>
        </is>
      </c>
      <c r="B11" s="7">
        <f>SUM('Monthly Sales'!B22:D22)</f>
        <v/>
      </c>
      <c r="C11" s="7">
        <f>sum('Monthly Sales'!B21:D21)</f>
        <v/>
      </c>
      <c r="D11" s="7">
        <f>B11-C11</f>
        <v/>
      </c>
      <c r="F11" s="7" t="inlineStr">
        <is>
          <t>Andy</t>
        </is>
      </c>
      <c r="G11" s="7">
        <f>sum('Monthly Sales'!E22:G22)</f>
        <v/>
      </c>
      <c r="H11" s="7">
        <f>SUM('Monthly Sales'!E21:G21)</f>
        <v/>
      </c>
      <c r="I11" s="7">
        <f>G11-H11</f>
        <v/>
      </c>
      <c r="N11" s="40" t="n">
        <v>1600</v>
      </c>
    </row>
    <row r="12">
      <c r="A12" s="40" t="inlineStr">
        <is>
          <t>Rachel</t>
        </is>
      </c>
      <c r="B12" s="7">
        <f>SUM('Monthly Sales'!B28:D28)</f>
        <v/>
      </c>
      <c r="C12" s="7">
        <f>sum('Monthly Sales'!B27:D27)</f>
        <v/>
      </c>
      <c r="D12" s="7">
        <f>B12-C12</f>
        <v/>
      </c>
      <c r="F12" s="7" t="inlineStr">
        <is>
          <t>Rachel</t>
        </is>
      </c>
      <c r="G12" s="7">
        <f>sum('Monthly Sales'!E28:G28)</f>
        <v/>
      </c>
      <c r="H12" s="7">
        <f>SUM('Monthly Sales'!E27:G27)</f>
        <v/>
      </c>
      <c r="I12" s="7">
        <f>G12-H12</f>
        <v/>
      </c>
      <c r="N12" s="7" t="n">
        <v>1100</v>
      </c>
    </row>
    <row r="13">
      <c r="N13" s="40" t="n">
        <v>34062</v>
      </c>
    </row>
    <row r="14">
      <c r="A14" s="40" t="inlineStr">
        <is>
          <t>By Sales</t>
        </is>
      </c>
      <c r="B14" s="40" t="inlineStr">
        <is>
          <t>Q3 Actual</t>
        </is>
      </c>
      <c r="C14" s="40" t="inlineStr">
        <is>
          <t>Q3 Goal</t>
        </is>
      </c>
      <c r="D14" s="40" t="inlineStr">
        <is>
          <t>Difference</t>
        </is>
      </c>
      <c r="F14" s="40" t="inlineStr">
        <is>
          <t>By Sales</t>
        </is>
      </c>
      <c r="G14" s="40" t="inlineStr">
        <is>
          <t>Q4 Actual</t>
        </is>
      </c>
      <c r="H14" s="40" t="inlineStr">
        <is>
          <t>Q4 Goal</t>
        </is>
      </c>
      <c r="I14" s="40" t="inlineStr">
        <is>
          <t>Difference</t>
        </is>
      </c>
      <c r="N14" s="40" t="n">
        <v>41697</v>
      </c>
    </row>
    <row r="15">
      <c r="A15" s="40" t="inlineStr">
        <is>
          <t>Thomas</t>
        </is>
      </c>
      <c r="B15" s="7">
        <f>sum('Monthly Sales'!H4:J4)</f>
        <v/>
      </c>
      <c r="C15" s="7">
        <f>sum('Monthly Sales'!H3:J3)</f>
        <v/>
      </c>
      <c r="D15" s="7">
        <f>B15-C15</f>
        <v/>
      </c>
      <c r="F15" s="40" t="inlineStr">
        <is>
          <t>Thomas</t>
        </is>
      </c>
      <c r="G15" s="7">
        <f>sum('Monthly Sales'!K4:M4)</f>
        <v/>
      </c>
      <c r="H15" s="7">
        <f>sum('Monthly Sales'!K3:M3)</f>
        <v/>
      </c>
      <c r="I15" s="7">
        <f>G15-H15</f>
        <v/>
      </c>
      <c r="N15" s="40" t="n">
        <v>600</v>
      </c>
    </row>
    <row r="16">
      <c r="A16" s="40" t="inlineStr">
        <is>
          <t>Tony</t>
        </is>
      </c>
      <c r="B16" s="7">
        <f>sum('Monthly Sales'!H10:J10)</f>
        <v/>
      </c>
      <c r="C16" s="7">
        <f>sum('Monthly Sales'!H9:J9)</f>
        <v/>
      </c>
      <c r="D16" s="7">
        <f>B16-C16</f>
        <v/>
      </c>
      <c r="F16" s="40" t="inlineStr">
        <is>
          <t>Tony</t>
        </is>
      </c>
      <c r="G16" s="7">
        <f>sum('Monthly Sales'!K10:M10)</f>
        <v/>
      </c>
      <c r="H16" s="7">
        <f>sum('Monthly Sales'!K9:M9)</f>
        <v/>
      </c>
      <c r="I16" s="7">
        <f>G16-H16</f>
        <v/>
      </c>
      <c r="N16" s="40" t="n">
        <v>500</v>
      </c>
    </row>
    <row r="17">
      <c r="A17" s="40" t="inlineStr">
        <is>
          <t>Adam</t>
        </is>
      </c>
      <c r="B17" s="7">
        <f>sum('Monthly Sales'!H16:J16)</f>
        <v/>
      </c>
      <c r="C17" s="7">
        <f>sum('Monthly Sales'!H15:J15)</f>
        <v/>
      </c>
      <c r="D17" s="7">
        <f>B17-C17</f>
        <v/>
      </c>
      <c r="F17" s="40" t="inlineStr">
        <is>
          <t>Adam</t>
        </is>
      </c>
      <c r="G17" s="7">
        <f>sum('Monthly Sales'!K16:M16)</f>
        <v/>
      </c>
      <c r="H17" s="7">
        <f>sum('Monthly Sales'!K15:M15)</f>
        <v/>
      </c>
      <c r="I17" s="7">
        <f>G17-H17</f>
        <v/>
      </c>
      <c r="N17" s="40" t="n">
        <v>800</v>
      </c>
    </row>
    <row r="18">
      <c r="A18" s="40" t="inlineStr">
        <is>
          <t>Andy</t>
        </is>
      </c>
      <c r="B18" s="7">
        <f>sum('Monthly Sales'!H22:J22)</f>
        <v/>
      </c>
      <c r="C18" s="7">
        <f>sum('Monthly Sales'!H21:J21)</f>
        <v/>
      </c>
      <c r="D18" s="7">
        <f>B18-C18</f>
        <v/>
      </c>
      <c r="F18" s="40" t="inlineStr">
        <is>
          <t>Andy</t>
        </is>
      </c>
      <c r="G18" s="7">
        <f>sum('Monthly Sales'!K22:M22)</f>
        <v/>
      </c>
      <c r="H18" s="7">
        <f>sum('Monthly Sales'!K21:M21)</f>
        <v/>
      </c>
      <c r="I18" s="7">
        <f>G18-H18</f>
        <v/>
      </c>
      <c r="N18" s="40">
        <f>SUM(N5:N17)</f>
        <v/>
      </c>
    </row>
    <row r="19">
      <c r="A19" s="40" t="inlineStr">
        <is>
          <t>Rachel</t>
        </is>
      </c>
      <c r="B19" s="7">
        <f>sum('Monthly Sales'!H28:J28)</f>
        <v/>
      </c>
      <c r="C19" s="7">
        <f>sum('Monthly Sales'!H27:J27)</f>
        <v/>
      </c>
      <c r="D19" s="7">
        <f>B19-C19</f>
        <v/>
      </c>
      <c r="F19" s="40" t="inlineStr">
        <is>
          <t>Rachel</t>
        </is>
      </c>
      <c r="G19" s="7">
        <f>sum('Monthly Sales'!K28:M28)</f>
        <v/>
      </c>
      <c r="H19" s="7">
        <f>sum('Monthly Sales'!K27:M27)</f>
        <v/>
      </c>
      <c r="I19" s="7">
        <f>G19-H19</f>
        <v/>
      </c>
    </row>
    <row r="20">
      <c r="G20" s="7" t="n"/>
      <c r="H20" s="7" t="n"/>
      <c r="I20" s="7" t="n"/>
    </row>
  </sheetData>
  <conditionalFormatting sqref="B4:B5 C4:E4">
    <cfRule type="cellIs" priority="1" operator="greaterThan" dxfId="0">
      <formula>1</formula>
    </cfRule>
    <cfRule type="cellIs" priority="2" operator="lessThan" dxfId="1">
      <formula>0</formula>
    </cfRule>
  </conditionalFormatting>
  <conditionalFormatting sqref="D8:D12 D15:D19 I8:I12 I15:I19">
    <cfRule type="cellIs" priority="3" operator="greaterThan" dxfId="0">
      <formula>1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40" t="n">
        <v>2025</v>
      </c>
      <c r="B1" s="36" t="inlineStr">
        <is>
          <t>Jan</t>
        </is>
      </c>
      <c r="C1" s="36" t="inlineStr">
        <is>
          <t>Feb</t>
        </is>
      </c>
      <c r="D1" s="36" t="inlineStr">
        <is>
          <t>March</t>
        </is>
      </c>
      <c r="E1" s="36" t="inlineStr">
        <is>
          <t>April</t>
        </is>
      </c>
      <c r="F1" s="36" t="inlineStr">
        <is>
          <t>May</t>
        </is>
      </c>
      <c r="G1" s="36" t="inlineStr">
        <is>
          <t>June</t>
        </is>
      </c>
      <c r="H1" s="36" t="inlineStr">
        <is>
          <t>July</t>
        </is>
      </c>
      <c r="I1" s="36" t="inlineStr">
        <is>
          <t>Aug</t>
        </is>
      </c>
      <c r="J1" s="36" t="inlineStr">
        <is>
          <t>Sept</t>
        </is>
      </c>
      <c r="K1" s="36" t="inlineStr">
        <is>
          <t>October</t>
        </is>
      </c>
      <c r="L1" s="36" t="inlineStr">
        <is>
          <t>November</t>
        </is>
      </c>
      <c r="M1" s="36" t="inlineStr">
        <is>
          <t>December</t>
        </is>
      </c>
    </row>
    <row r="2">
      <c r="A2" s="40" t="inlineStr">
        <is>
          <t>total sales YTD</t>
        </is>
      </c>
      <c r="B2" s="7" t="n">
        <v>173632.44</v>
      </c>
      <c r="C2" s="7" t="n">
        <v>436319.16</v>
      </c>
      <c r="D2" s="7" t="n">
        <v>1204988.76</v>
      </c>
      <c r="E2" s="7" t="n">
        <v>1857726.87</v>
      </c>
      <c r="F2" s="7" t="n">
        <v>3074259.93</v>
      </c>
      <c r="G2" s="7" t="n">
        <v>4117325.81</v>
      </c>
      <c r="H2" s="7" t="n">
        <v>5043375.04</v>
      </c>
      <c r="I2" s="7" t="n">
        <v>6181336.04</v>
      </c>
      <c r="J2" s="7" t="n">
        <v>7405470.54</v>
      </c>
      <c r="K2" s="7" t="n">
        <v>8041058.02</v>
      </c>
      <c r="L2" s="7" t="n">
        <v>8471877.640000001</v>
      </c>
      <c r="M2" s="7" t="n">
        <v>9717582.130000001</v>
      </c>
    </row>
    <row r="3">
      <c r="A3" s="40" t="inlineStr">
        <is>
          <t>profit %</t>
        </is>
      </c>
      <c r="B3" s="13">
        <f>-128196.72/B2</f>
        <v/>
      </c>
      <c r="C3" s="13">
        <f>-275541.99/C2</f>
        <v/>
      </c>
      <c r="D3" s="13">
        <f>-221384.27/D2</f>
        <v/>
      </c>
      <c r="E3" s="13">
        <f>-532005.5/E2</f>
        <v/>
      </c>
      <c r="F3" s="13">
        <f>-137641.44/F2</f>
        <v/>
      </c>
      <c r="G3" s="13">
        <f>40910.23/G2</f>
        <v/>
      </c>
      <c r="H3" s="13">
        <f>121129.98/H2</f>
        <v/>
      </c>
      <c r="I3" s="13">
        <f>439236.9/I2</f>
        <v/>
      </c>
      <c r="J3" s="13">
        <f>739926.91/J2</f>
        <v/>
      </c>
      <c r="K3" s="13">
        <f>653296.49/K2</f>
        <v/>
      </c>
      <c r="L3" s="13">
        <f>430401.12/L2</f>
        <v/>
      </c>
      <c r="M3" s="13">
        <f>671648.4/M2</f>
        <v/>
      </c>
    </row>
    <row r="4">
      <c r="A4" s="40" t="inlineStr">
        <is>
          <t>margin %</t>
        </is>
      </c>
      <c r="B4" s="13">
        <f>15436.07/B2</f>
        <v/>
      </c>
      <c r="C4" s="13">
        <f>35595.22/C2</f>
        <v/>
      </c>
      <c r="D4" s="13">
        <f>266025.61/D2</f>
        <v/>
      </c>
      <c r="E4" s="13">
        <f>180310.43/E2</f>
        <v/>
      </c>
      <c r="F4" s="13">
        <f>717491.8/F2</f>
        <v/>
      </c>
      <c r="G4" s="13">
        <f>1088065.76/G2</f>
        <v/>
      </c>
      <c r="H4" s="13">
        <f>1349732/H2</f>
        <v/>
      </c>
      <c r="I4" s="13">
        <f>1847630.08/I2</f>
        <v/>
      </c>
      <c r="J4" s="13">
        <f>2285642.99/J2</f>
        <v/>
      </c>
      <c r="K4" s="13">
        <f>2422180.25/K2</f>
        <v/>
      </c>
      <c r="L4" s="13">
        <f>2355151.28/L2</f>
        <v/>
      </c>
      <c r="M4" s="13">
        <f>2986143.96/M2</f>
        <v/>
      </c>
    </row>
    <row r="6">
      <c r="A6" s="40" t="n">
        <v>2026</v>
      </c>
      <c r="B6" s="36" t="inlineStr">
        <is>
          <t>Jan</t>
        </is>
      </c>
      <c r="C6" s="36" t="inlineStr">
        <is>
          <t>Feb</t>
        </is>
      </c>
      <c r="D6" s="36" t="inlineStr">
        <is>
          <t>March</t>
        </is>
      </c>
      <c r="E6" s="36" t="inlineStr">
        <is>
          <t>April</t>
        </is>
      </c>
      <c r="F6" s="36" t="inlineStr">
        <is>
          <t>May</t>
        </is>
      </c>
      <c r="G6" s="36" t="inlineStr">
        <is>
          <t>June</t>
        </is>
      </c>
      <c r="H6" s="36" t="inlineStr">
        <is>
          <t>July</t>
        </is>
      </c>
      <c r="I6" s="36" t="inlineStr">
        <is>
          <t>Aug</t>
        </is>
      </c>
      <c r="J6" s="36" t="inlineStr">
        <is>
          <t>Sept</t>
        </is>
      </c>
      <c r="K6" s="36" t="inlineStr">
        <is>
          <t>October</t>
        </is>
      </c>
      <c r="L6" s="36" t="inlineStr">
        <is>
          <t>November</t>
        </is>
      </c>
      <c r="M6" s="36" t="inlineStr">
        <is>
          <t>December</t>
        </is>
      </c>
    </row>
    <row r="7">
      <c r="A7" s="40" t="inlineStr">
        <is>
          <t>total sales YTD</t>
        </is>
      </c>
      <c r="B7" s="7" t="n">
        <v>450811.1</v>
      </c>
      <c r="C7" s="7" t="n">
        <v>1056056.07</v>
      </c>
      <c r="D7" s="7" t="n">
        <v>2287279</v>
      </c>
      <c r="E7" s="7" t="n">
        <v>3446473.35</v>
      </c>
      <c r="F7" s="7" t="n">
        <v>4134810.8</v>
      </c>
      <c r="G7" s="7" t="n">
        <v>5735698.67</v>
      </c>
      <c r="H7" s="7" t="n"/>
      <c r="I7" s="7" t="n"/>
      <c r="J7" s="7" t="n"/>
      <c r="K7" s="7" t="n"/>
      <c r="L7" s="7" t="n"/>
      <c r="M7" s="7" t="n"/>
    </row>
    <row r="8">
      <c r="A8" s="40" t="inlineStr">
        <is>
          <t>profit %</t>
        </is>
      </c>
      <c r="B8" s="13">
        <f>-255724.34/B7</f>
        <v/>
      </c>
      <c r="C8" s="13">
        <f>-355362.31/C7</f>
        <v/>
      </c>
      <c r="D8" s="13">
        <f>108682/D7</f>
        <v/>
      </c>
      <c r="E8" s="13">
        <f>-90201.97/3446473.35</f>
        <v/>
      </c>
      <c r="F8" s="13">
        <f>-216977.84/4134810.8</f>
        <v/>
      </c>
      <c r="G8" s="13">
        <f>604130.5/5735698.67</f>
        <v/>
      </c>
      <c r="H8" s="13" t="n"/>
      <c r="I8" s="13" t="n"/>
      <c r="J8" s="13" t="n"/>
      <c r="K8" s="13" t="n"/>
      <c r="L8" s="13" t="n"/>
      <c r="M8" s="13" t="n"/>
    </row>
    <row r="9">
      <c r="A9" s="40" t="inlineStr">
        <is>
          <t>margin%</t>
        </is>
      </c>
      <c r="B9" s="13">
        <f>-127661.63/B7</f>
        <v/>
      </c>
      <c r="C9" s="13">
        <f>57276.15/C7</f>
        <v/>
      </c>
      <c r="D9" s="13">
        <f>654140/D7</f>
        <v/>
      </c>
      <c r="E9" s="13">
        <f>634068.33/2446473.35</f>
        <v/>
      </c>
      <c r="F9" s="13">
        <f>655670.05/4134810.8</f>
        <v/>
      </c>
      <c r="G9" s="13">
        <f>1633145.93/5735698.67</f>
        <v/>
      </c>
      <c r="H9" s="13" t="n"/>
      <c r="I9" s="13" t="n"/>
      <c r="J9" s="13" t="n"/>
      <c r="K9" s="13" t="n"/>
      <c r="L9" s="13" t="n"/>
      <c r="M9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2026-09-11T10:18:53Z</dcterms:created>
  <dcterms:modified xmlns:dcterms="http://purl.org/dc/terms/" xmlns:xsi="http://www.w3.org/2001/XMLSchema-instance" xsi:type="dcterms:W3CDTF">2026-09-11T10:18:53Z</dcterms:modified>
</cp:coreProperties>
</file>